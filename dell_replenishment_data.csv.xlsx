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dec9285a47f8a2/Desktop/"/>
    </mc:Choice>
  </mc:AlternateContent>
  <xr:revisionPtr revIDLastSave="44" documentId="8_{300B4B61-7B40-49B3-B8A8-3BE8CF339019}" xr6:coauthVersionLast="47" xr6:coauthVersionMax="47" xr10:uidLastSave="{6E0B1C2D-D3B9-4E98-92EA-1E5031E77946}"/>
  <bookViews>
    <workbookView xWindow="-110" yWindow="-110" windowWidth="19420" windowHeight="11500" xr2:uid="{E118667F-EF3B-4011-8924-6014D68AEF83}"/>
  </bookViews>
  <sheets>
    <sheet name="invento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K2" i="1"/>
  <c r="I2" i="1"/>
  <c r="I5" i="1"/>
  <c r="I6" i="1"/>
  <c r="K6" i="1" s="1"/>
  <c r="M6" i="1" s="1"/>
  <c r="I7" i="1"/>
  <c r="J7" i="1" s="1"/>
  <c r="I8" i="1"/>
  <c r="J8" i="1" s="1"/>
  <c r="I9" i="1"/>
  <c r="J9" i="1" s="1"/>
  <c r="I10" i="1"/>
  <c r="I13" i="1"/>
  <c r="J13" i="1" s="1"/>
  <c r="I14" i="1"/>
  <c r="K14" i="1" s="1"/>
  <c r="M14" i="1" s="1"/>
  <c r="I15" i="1"/>
  <c r="K15" i="1" s="1"/>
  <c r="M15" i="1" s="1"/>
  <c r="I16" i="1"/>
  <c r="J16" i="1" s="1"/>
  <c r="I17" i="1"/>
  <c r="K17" i="1" s="1"/>
  <c r="M17" i="1" s="1"/>
  <c r="I18" i="1"/>
  <c r="I21" i="1"/>
  <c r="K21" i="1" s="1"/>
  <c r="M21" i="1" s="1"/>
  <c r="N21" i="1" s="1"/>
  <c r="I22" i="1"/>
  <c r="K22" i="1" s="1"/>
  <c r="M22" i="1" s="1"/>
  <c r="N22" i="1" s="1"/>
  <c r="I23" i="1"/>
  <c r="J23" i="1" s="1"/>
  <c r="I24" i="1"/>
  <c r="J24" i="1" s="1"/>
  <c r="I25" i="1"/>
  <c r="J25" i="1" s="1"/>
  <c r="I26" i="1"/>
  <c r="I29" i="1"/>
  <c r="I30" i="1"/>
  <c r="J30" i="1" s="1"/>
  <c r="I31" i="1"/>
  <c r="K31" i="1" s="1"/>
  <c r="M31" i="1" s="1"/>
  <c r="I32" i="1"/>
  <c r="J32" i="1" s="1"/>
  <c r="I33" i="1"/>
  <c r="K33" i="1" s="1"/>
  <c r="M33" i="1" s="1"/>
  <c r="I34" i="1"/>
  <c r="I37" i="1"/>
  <c r="J37" i="1" s="1"/>
  <c r="I38" i="1"/>
  <c r="K38" i="1" s="1"/>
  <c r="M38" i="1" s="1"/>
  <c r="I39" i="1"/>
  <c r="K39" i="1" s="1"/>
  <c r="M39" i="1" s="1"/>
  <c r="I40" i="1"/>
  <c r="K40" i="1" s="1"/>
  <c r="M40" i="1" s="1"/>
  <c r="I41" i="1"/>
  <c r="K41" i="1" s="1"/>
  <c r="M41" i="1" s="1"/>
  <c r="I42" i="1"/>
  <c r="I45" i="1"/>
  <c r="I46" i="1"/>
  <c r="J46" i="1" s="1"/>
  <c r="I47" i="1"/>
  <c r="J47" i="1" s="1"/>
  <c r="I48" i="1"/>
  <c r="J48" i="1" s="1"/>
  <c r="I49" i="1"/>
  <c r="K49" i="1" s="1"/>
  <c r="M49" i="1" s="1"/>
  <c r="N49" i="1" s="1"/>
  <c r="I50" i="1"/>
  <c r="I53" i="1"/>
  <c r="I54" i="1"/>
  <c r="K54" i="1" s="1"/>
  <c r="M54" i="1" s="1"/>
  <c r="N54" i="1" s="1"/>
  <c r="I55" i="1"/>
  <c r="K55" i="1" s="1"/>
  <c r="M55" i="1" s="1"/>
  <c r="I56" i="1"/>
  <c r="K56" i="1" s="1"/>
  <c r="M56" i="1" s="1"/>
  <c r="I57" i="1"/>
  <c r="K57" i="1" s="1"/>
  <c r="M57" i="1" s="1"/>
  <c r="I58" i="1"/>
  <c r="I61" i="1"/>
  <c r="J61" i="1" s="1"/>
  <c r="I62" i="1"/>
  <c r="K62" i="1" s="1"/>
  <c r="M62" i="1" s="1"/>
  <c r="I63" i="1"/>
  <c r="J63" i="1" s="1"/>
  <c r="I64" i="1"/>
  <c r="K64" i="1" s="1"/>
  <c r="M64" i="1" s="1"/>
  <c r="I65" i="1"/>
  <c r="K65" i="1" s="1"/>
  <c r="M65" i="1" s="1"/>
  <c r="I66" i="1"/>
  <c r="I69" i="1"/>
  <c r="I70" i="1"/>
  <c r="J70" i="1" s="1"/>
  <c r="I71" i="1"/>
  <c r="J71" i="1" s="1"/>
  <c r="I72" i="1"/>
  <c r="J72" i="1" s="1"/>
  <c r="I73" i="1"/>
  <c r="J73" i="1" s="1"/>
  <c r="I74" i="1"/>
  <c r="I77" i="1"/>
  <c r="J77" i="1" s="1"/>
  <c r="I78" i="1"/>
  <c r="I79" i="1"/>
  <c r="K79" i="1" s="1"/>
  <c r="M79" i="1" s="1"/>
  <c r="I80" i="1"/>
  <c r="J80" i="1" s="1"/>
  <c r="I81" i="1"/>
  <c r="K81" i="1" s="1"/>
  <c r="M81" i="1" s="1"/>
  <c r="I82" i="1"/>
  <c r="I85" i="1"/>
  <c r="K85" i="1" s="1"/>
  <c r="M85" i="1" s="1"/>
  <c r="N85" i="1" s="1"/>
  <c r="I86" i="1"/>
  <c r="K86" i="1" s="1"/>
  <c r="M86" i="1" s="1"/>
  <c r="I87" i="1"/>
  <c r="J87" i="1" s="1"/>
  <c r="I88" i="1"/>
  <c r="J88" i="1" s="1"/>
  <c r="I89" i="1"/>
  <c r="K89" i="1" s="1"/>
  <c r="M89" i="1" s="1"/>
  <c r="I90" i="1"/>
  <c r="I93" i="1"/>
  <c r="I94" i="1"/>
  <c r="I95" i="1"/>
  <c r="K95" i="1" s="1"/>
  <c r="M95" i="1" s="1"/>
  <c r="I96" i="1"/>
  <c r="K96" i="1" s="1"/>
  <c r="M96" i="1" s="1"/>
  <c r="I97" i="1"/>
  <c r="K97" i="1" s="1"/>
  <c r="M97" i="1" s="1"/>
  <c r="I98" i="1"/>
  <c r="I101" i="1"/>
  <c r="J101" i="1" s="1"/>
  <c r="I102" i="1"/>
  <c r="J102" i="1" s="1"/>
  <c r="I103" i="1"/>
  <c r="K103" i="1" s="1"/>
  <c r="M103" i="1" s="1"/>
  <c r="H3" i="1"/>
  <c r="H4" i="1"/>
  <c r="I4" i="1" s="1"/>
  <c r="J4" i="1" s="1"/>
  <c r="H5" i="1"/>
  <c r="H6" i="1"/>
  <c r="H7" i="1"/>
  <c r="H8" i="1"/>
  <c r="H9" i="1"/>
  <c r="H10" i="1"/>
  <c r="H11" i="1"/>
  <c r="I11" i="1" s="1"/>
  <c r="H12" i="1"/>
  <c r="I12" i="1" s="1"/>
  <c r="J12" i="1" s="1"/>
  <c r="H13" i="1"/>
  <c r="H14" i="1"/>
  <c r="H15" i="1"/>
  <c r="H16" i="1"/>
  <c r="H17" i="1"/>
  <c r="H18" i="1"/>
  <c r="H19" i="1"/>
  <c r="I19" i="1" s="1"/>
  <c r="H20" i="1"/>
  <c r="I20" i="1" s="1"/>
  <c r="J20" i="1" s="1"/>
  <c r="H21" i="1"/>
  <c r="H22" i="1"/>
  <c r="H23" i="1"/>
  <c r="H24" i="1"/>
  <c r="H25" i="1"/>
  <c r="H26" i="1"/>
  <c r="H27" i="1"/>
  <c r="I27" i="1" s="1"/>
  <c r="H28" i="1"/>
  <c r="I28" i="1" s="1"/>
  <c r="J28" i="1" s="1"/>
  <c r="H29" i="1"/>
  <c r="H30" i="1"/>
  <c r="H31" i="1"/>
  <c r="H32" i="1"/>
  <c r="H33" i="1"/>
  <c r="H34" i="1"/>
  <c r="H35" i="1"/>
  <c r="I35" i="1" s="1"/>
  <c r="H36" i="1"/>
  <c r="I36" i="1" s="1"/>
  <c r="J36" i="1" s="1"/>
  <c r="H37" i="1"/>
  <c r="H38" i="1"/>
  <c r="H39" i="1"/>
  <c r="H40" i="1"/>
  <c r="H41" i="1"/>
  <c r="H42" i="1"/>
  <c r="H43" i="1"/>
  <c r="I43" i="1" s="1"/>
  <c r="H44" i="1"/>
  <c r="I44" i="1" s="1"/>
  <c r="J44" i="1" s="1"/>
  <c r="H45" i="1"/>
  <c r="H46" i="1"/>
  <c r="H47" i="1"/>
  <c r="H48" i="1"/>
  <c r="H49" i="1"/>
  <c r="H50" i="1"/>
  <c r="H51" i="1"/>
  <c r="I51" i="1" s="1"/>
  <c r="H52" i="1"/>
  <c r="I52" i="1" s="1"/>
  <c r="H53" i="1"/>
  <c r="H54" i="1"/>
  <c r="H55" i="1"/>
  <c r="H56" i="1"/>
  <c r="H57" i="1"/>
  <c r="H58" i="1"/>
  <c r="H59" i="1"/>
  <c r="I59" i="1" s="1"/>
  <c r="H60" i="1"/>
  <c r="I60" i="1" s="1"/>
  <c r="H61" i="1"/>
  <c r="H62" i="1"/>
  <c r="H63" i="1"/>
  <c r="H64" i="1"/>
  <c r="H65" i="1"/>
  <c r="H66" i="1"/>
  <c r="H67" i="1"/>
  <c r="I67" i="1" s="1"/>
  <c r="H68" i="1"/>
  <c r="I68" i="1" s="1"/>
  <c r="H69" i="1"/>
  <c r="H70" i="1"/>
  <c r="H71" i="1"/>
  <c r="H72" i="1"/>
  <c r="H73" i="1"/>
  <c r="H74" i="1"/>
  <c r="H75" i="1"/>
  <c r="I75" i="1" s="1"/>
  <c r="H76" i="1"/>
  <c r="I76" i="1" s="1"/>
  <c r="J76" i="1" s="1"/>
  <c r="H77" i="1"/>
  <c r="H78" i="1"/>
  <c r="H79" i="1"/>
  <c r="H80" i="1"/>
  <c r="H81" i="1"/>
  <c r="H82" i="1"/>
  <c r="H83" i="1"/>
  <c r="I83" i="1" s="1"/>
  <c r="H84" i="1"/>
  <c r="I84" i="1" s="1"/>
  <c r="H85" i="1"/>
  <c r="H86" i="1"/>
  <c r="H87" i="1"/>
  <c r="H88" i="1"/>
  <c r="H89" i="1"/>
  <c r="H90" i="1"/>
  <c r="H91" i="1"/>
  <c r="I91" i="1" s="1"/>
  <c r="H92" i="1"/>
  <c r="I92" i="1" s="1"/>
  <c r="H93" i="1"/>
  <c r="H94" i="1"/>
  <c r="H95" i="1"/>
  <c r="H96" i="1"/>
  <c r="H97" i="1"/>
  <c r="H98" i="1"/>
  <c r="H99" i="1"/>
  <c r="I99" i="1" s="1"/>
  <c r="H100" i="1"/>
  <c r="I100" i="1" s="1"/>
  <c r="J100" i="1" s="1"/>
  <c r="H101" i="1"/>
  <c r="H102" i="1"/>
  <c r="H103" i="1"/>
  <c r="H2" i="1"/>
  <c r="N29" i="1"/>
  <c r="N45" i="1"/>
  <c r="N93" i="1"/>
  <c r="N10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N53" i="1" s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2" i="1"/>
  <c r="K5" i="1"/>
  <c r="M5" i="1" s="1"/>
  <c r="N5" i="1" s="1"/>
  <c r="K13" i="1"/>
  <c r="M13" i="1" s="1"/>
  <c r="N13" i="1" s="1"/>
  <c r="K29" i="1"/>
  <c r="M29" i="1" s="1"/>
  <c r="K30" i="1"/>
  <c r="M30" i="1" s="1"/>
  <c r="N30" i="1" s="1"/>
  <c r="K37" i="1"/>
  <c r="M37" i="1" s="1"/>
  <c r="N37" i="1" s="1"/>
  <c r="K45" i="1"/>
  <c r="M45" i="1" s="1"/>
  <c r="K53" i="1"/>
  <c r="M53" i="1" s="1"/>
  <c r="K61" i="1"/>
  <c r="M61" i="1" s="1"/>
  <c r="N61" i="1" s="1"/>
  <c r="K69" i="1"/>
  <c r="M69" i="1" s="1"/>
  <c r="N69" i="1" s="1"/>
  <c r="K70" i="1"/>
  <c r="M70" i="1" s="1"/>
  <c r="N70" i="1" s="1"/>
  <c r="K77" i="1"/>
  <c r="M77" i="1" s="1"/>
  <c r="N77" i="1" s="1"/>
  <c r="K78" i="1"/>
  <c r="M78" i="1" s="1"/>
  <c r="N78" i="1" s="1"/>
  <c r="K93" i="1"/>
  <c r="M93" i="1" s="1"/>
  <c r="K94" i="1"/>
  <c r="M94" i="1" s="1"/>
  <c r="N94" i="1" s="1"/>
  <c r="K101" i="1"/>
  <c r="M101" i="1" s="1"/>
  <c r="N101" i="1" s="1"/>
  <c r="K102" i="1"/>
  <c r="M102" i="1" s="1"/>
  <c r="J6" i="1"/>
  <c r="J38" i="1"/>
  <c r="J39" i="1"/>
  <c r="J40" i="1"/>
  <c r="J41" i="1"/>
  <c r="J62" i="1"/>
  <c r="J78" i="1"/>
  <c r="J79" i="1"/>
  <c r="J94" i="1"/>
  <c r="J5" i="1"/>
  <c r="K7" i="1"/>
  <c r="M7" i="1" s="1"/>
  <c r="N7" i="1" s="1"/>
  <c r="K8" i="1"/>
  <c r="M8" i="1" s="1"/>
  <c r="N8" i="1" s="1"/>
  <c r="K9" i="1"/>
  <c r="M9" i="1" s="1"/>
  <c r="N9" i="1" s="1"/>
  <c r="J21" i="1"/>
  <c r="J29" i="1"/>
  <c r="J45" i="1"/>
  <c r="J53" i="1"/>
  <c r="J69" i="1"/>
  <c r="K71" i="1"/>
  <c r="M71" i="1" s="1"/>
  <c r="N71" i="1" s="1"/>
  <c r="K72" i="1"/>
  <c r="M72" i="1" s="1"/>
  <c r="N72" i="1" s="1"/>
  <c r="K73" i="1"/>
  <c r="M73" i="1" s="1"/>
  <c r="N73" i="1" s="1"/>
  <c r="J85" i="1"/>
  <c r="K87" i="1"/>
  <c r="M87" i="1" s="1"/>
  <c r="N87" i="1" s="1"/>
  <c r="K88" i="1"/>
  <c r="M88" i="1" s="1"/>
  <c r="N88" i="1" s="1"/>
  <c r="J93" i="1"/>
  <c r="K92" i="1" l="1"/>
  <c r="M92" i="1" s="1"/>
  <c r="N92" i="1" s="1"/>
  <c r="J92" i="1"/>
  <c r="K84" i="1"/>
  <c r="M84" i="1" s="1"/>
  <c r="N84" i="1" s="1"/>
  <c r="J84" i="1"/>
  <c r="K68" i="1"/>
  <c r="M68" i="1" s="1"/>
  <c r="N68" i="1" s="1"/>
  <c r="J68" i="1"/>
  <c r="J60" i="1"/>
  <c r="K60" i="1"/>
  <c r="M60" i="1" s="1"/>
  <c r="N60" i="1" s="1"/>
  <c r="K52" i="1"/>
  <c r="M52" i="1" s="1"/>
  <c r="N52" i="1" s="1"/>
  <c r="J52" i="1"/>
  <c r="N81" i="1"/>
  <c r="N41" i="1"/>
  <c r="N64" i="1"/>
  <c r="K24" i="1"/>
  <c r="M24" i="1" s="1"/>
  <c r="N24" i="1" s="1"/>
  <c r="N95" i="1"/>
  <c r="N39" i="1"/>
  <c r="K23" i="1"/>
  <c r="M23" i="1" s="1"/>
  <c r="N23" i="1" s="1"/>
  <c r="N97" i="1"/>
  <c r="N65" i="1"/>
  <c r="N17" i="1"/>
  <c r="N96" i="1"/>
  <c r="N103" i="1"/>
  <c r="N15" i="1"/>
  <c r="N6" i="1"/>
  <c r="J56" i="1"/>
  <c r="N89" i="1"/>
  <c r="N57" i="1"/>
  <c r="N33" i="1"/>
  <c r="N56" i="1"/>
  <c r="N40" i="1"/>
  <c r="K48" i="1"/>
  <c r="M48" i="1" s="1"/>
  <c r="N48" i="1" s="1"/>
  <c r="N79" i="1"/>
  <c r="N55" i="1"/>
  <c r="N31" i="1"/>
  <c r="K47" i="1"/>
  <c r="M47" i="1" s="1"/>
  <c r="N47" i="1" s="1"/>
  <c r="J57" i="1"/>
  <c r="N86" i="1"/>
  <c r="N62" i="1"/>
  <c r="N38" i="1"/>
  <c r="N14" i="1"/>
  <c r="K63" i="1"/>
  <c r="M63" i="1" s="1"/>
  <c r="N63" i="1" s="1"/>
  <c r="J96" i="1"/>
  <c r="J55" i="1"/>
  <c r="J22" i="1"/>
  <c r="J95" i="1"/>
  <c r="J54" i="1"/>
  <c r="K32" i="1"/>
  <c r="M32" i="1" s="1"/>
  <c r="N32" i="1" s="1"/>
  <c r="J89" i="1"/>
  <c r="K80" i="1"/>
  <c r="M80" i="1" s="1"/>
  <c r="N80" i="1" s="1"/>
  <c r="K16" i="1"/>
  <c r="M16" i="1" s="1"/>
  <c r="N16" i="1" s="1"/>
  <c r="J31" i="1"/>
  <c r="J14" i="1"/>
  <c r="K46" i="1"/>
  <c r="M46" i="1" s="1"/>
  <c r="N46" i="1" s="1"/>
  <c r="J15" i="1"/>
  <c r="J64" i="1"/>
  <c r="J103" i="1"/>
  <c r="J86" i="1"/>
  <c r="K25" i="1"/>
  <c r="M25" i="1" s="1"/>
  <c r="N25" i="1" s="1"/>
  <c r="K20" i="1"/>
  <c r="M20" i="1" s="1"/>
  <c r="N20" i="1" s="1"/>
  <c r="J99" i="1"/>
  <c r="K99" i="1"/>
  <c r="M99" i="1" s="1"/>
  <c r="N99" i="1" s="1"/>
  <c r="J91" i="1"/>
  <c r="K91" i="1"/>
  <c r="M91" i="1" s="1"/>
  <c r="N91" i="1" s="1"/>
  <c r="J83" i="1"/>
  <c r="K83" i="1"/>
  <c r="M83" i="1" s="1"/>
  <c r="N83" i="1" s="1"/>
  <c r="J75" i="1"/>
  <c r="K75" i="1"/>
  <c r="M75" i="1" s="1"/>
  <c r="N75" i="1" s="1"/>
  <c r="J67" i="1"/>
  <c r="K67" i="1"/>
  <c r="M67" i="1" s="1"/>
  <c r="N67" i="1" s="1"/>
  <c r="J59" i="1"/>
  <c r="K59" i="1"/>
  <c r="M59" i="1" s="1"/>
  <c r="N59" i="1" s="1"/>
  <c r="J51" i="1"/>
  <c r="K51" i="1"/>
  <c r="M51" i="1" s="1"/>
  <c r="N51" i="1" s="1"/>
  <c r="J43" i="1"/>
  <c r="K43" i="1"/>
  <c r="M43" i="1" s="1"/>
  <c r="N43" i="1" s="1"/>
  <c r="J35" i="1"/>
  <c r="K35" i="1"/>
  <c r="M35" i="1" s="1"/>
  <c r="N35" i="1" s="1"/>
  <c r="J27" i="1"/>
  <c r="K27" i="1"/>
  <c r="M27" i="1" s="1"/>
  <c r="N27" i="1" s="1"/>
  <c r="J19" i="1"/>
  <c r="K19" i="1"/>
  <c r="M19" i="1" s="1"/>
  <c r="N19" i="1" s="1"/>
  <c r="J11" i="1"/>
  <c r="K11" i="1"/>
  <c r="M11" i="1" s="1"/>
  <c r="N11" i="1" s="1"/>
  <c r="J3" i="1"/>
  <c r="K3" i="1"/>
  <c r="M3" i="1" s="1"/>
  <c r="N3" i="1" s="1"/>
  <c r="J98" i="1"/>
  <c r="K98" i="1"/>
  <c r="M98" i="1" s="1"/>
  <c r="N98" i="1" s="1"/>
  <c r="J90" i="1"/>
  <c r="K90" i="1"/>
  <c r="M90" i="1" s="1"/>
  <c r="N90" i="1" s="1"/>
  <c r="J82" i="1"/>
  <c r="K82" i="1"/>
  <c r="M82" i="1" s="1"/>
  <c r="N82" i="1" s="1"/>
  <c r="J74" i="1"/>
  <c r="K74" i="1"/>
  <c r="M74" i="1" s="1"/>
  <c r="N74" i="1" s="1"/>
  <c r="J66" i="1"/>
  <c r="K66" i="1"/>
  <c r="M66" i="1" s="1"/>
  <c r="N66" i="1" s="1"/>
  <c r="J58" i="1"/>
  <c r="K58" i="1"/>
  <c r="M58" i="1" s="1"/>
  <c r="N58" i="1" s="1"/>
  <c r="J50" i="1"/>
  <c r="K50" i="1"/>
  <c r="M50" i="1" s="1"/>
  <c r="N50" i="1" s="1"/>
  <c r="J42" i="1"/>
  <c r="K42" i="1"/>
  <c r="M42" i="1" s="1"/>
  <c r="N42" i="1" s="1"/>
  <c r="J34" i="1"/>
  <c r="K34" i="1"/>
  <c r="M34" i="1" s="1"/>
  <c r="N34" i="1" s="1"/>
  <c r="J26" i="1"/>
  <c r="K26" i="1"/>
  <c r="M26" i="1" s="1"/>
  <c r="N26" i="1" s="1"/>
  <c r="J18" i="1"/>
  <c r="K18" i="1"/>
  <c r="M18" i="1" s="1"/>
  <c r="N18" i="1" s="1"/>
  <c r="J10" i="1"/>
  <c r="K10" i="1"/>
  <c r="M10" i="1" s="1"/>
  <c r="N10" i="1" s="1"/>
  <c r="J2" i="1"/>
  <c r="M2" i="1"/>
  <c r="N2" i="1" s="1"/>
  <c r="J97" i="1"/>
  <c r="J81" i="1"/>
  <c r="J65" i="1"/>
  <c r="J49" i="1"/>
  <c r="J33" i="1"/>
  <c r="J17" i="1"/>
  <c r="K100" i="1"/>
  <c r="M100" i="1" s="1"/>
  <c r="N100" i="1" s="1"/>
  <c r="K36" i="1"/>
  <c r="M36" i="1" s="1"/>
  <c r="N36" i="1" s="1"/>
  <c r="K76" i="1"/>
  <c r="M76" i="1" s="1"/>
  <c r="N76" i="1" s="1"/>
  <c r="K12" i="1"/>
  <c r="M12" i="1" s="1"/>
  <c r="N12" i="1" s="1"/>
  <c r="K28" i="1"/>
  <c r="M28" i="1" s="1"/>
  <c r="N28" i="1" s="1"/>
  <c r="K4" i="1"/>
  <c r="M4" i="1" s="1"/>
  <c r="N4" i="1" s="1"/>
  <c r="K44" i="1"/>
  <c r="M44" i="1" s="1"/>
  <c r="N44" i="1" s="1"/>
</calcChain>
</file>

<file path=xl/sharedStrings.xml><?xml version="1.0" encoding="utf-8"?>
<sst xmlns="http://schemas.openxmlformats.org/spreadsheetml/2006/main" count="218" uniqueCount="26">
  <si>
    <t>date</t>
  </si>
  <si>
    <t>component</t>
  </si>
  <si>
    <t>daily_demand</t>
  </si>
  <si>
    <t>inventory_on_hand</t>
  </si>
  <si>
    <t>lead_time_days</t>
  </si>
  <si>
    <t>supplier</t>
  </si>
  <si>
    <t>unit_cost</t>
  </si>
  <si>
    <t>CPU i7</t>
  </si>
  <si>
    <t>Intel</t>
  </si>
  <si>
    <t>RAM 16GB</t>
  </si>
  <si>
    <t>Micron</t>
  </si>
  <si>
    <t>SSD 512GB</t>
  </si>
  <si>
    <t>Samsung</t>
  </si>
  <si>
    <t>GPU RTX 4060</t>
  </si>
  <si>
    <t>NVIDIA</t>
  </si>
  <si>
    <t>Motherboard ATX</t>
  </si>
  <si>
    <t>ASUS</t>
  </si>
  <si>
    <t>Power Supply 650W</t>
  </si>
  <si>
    <t>Corsair</t>
  </si>
  <si>
    <t>reorder_point</t>
  </si>
  <si>
    <t>order_quantity</t>
  </si>
  <si>
    <t>order_placed</t>
  </si>
  <si>
    <t>safety stock</t>
  </si>
  <si>
    <t>Expected_arrival_date</t>
  </si>
  <si>
    <t>Inventory_after_replenishment</t>
  </si>
  <si>
    <t>Inventory_after_demand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</si>
</sst>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EE3C-D3FD-4557-8DED-1608AD3FAF15}">
  <dimension ref="A1:N103"/>
  <sheetViews>
    <sheetView tabSelected="1" topLeftCell="C1" workbookViewId="0">
      <selection activeCell="I4" sqref="I4"/>
    </sheetView>
  </sheetViews>
  <sheetFormatPr defaultRowHeight="14.5" x14ac:dyDescent="0.35"/>
  <cols>
    <col min="1" max="1" width="9.08984375" bestFit="1" customWidth="1"/>
    <col min="2" max="2" width="16.54296875" bestFit="1" customWidth="1"/>
    <col min="3" max="3" width="11.90625" bestFit="1" customWidth="1"/>
    <col min="4" max="4" width="15.90625" bestFit="1" customWidth="1"/>
    <col min="5" max="5" width="13.36328125" bestFit="1" customWidth="1"/>
    <col min="6" max="6" width="8.1796875" bestFit="1" customWidth="1"/>
    <col min="7" max="7" width="8.26953125" bestFit="1" customWidth="1"/>
    <col min="9" max="9" width="11.6328125" bestFit="1" customWidth="1"/>
    <col min="10" max="10" width="12.453125" bestFit="1" customWidth="1"/>
    <col min="11" max="11" width="11.36328125" bestFit="1" customWidth="1"/>
    <col min="12" max="12" width="19.1796875" customWidth="1"/>
    <col min="13" max="13" width="19.54296875" customWidth="1"/>
    <col min="14" max="14" width="22.1796875" customWidth="1"/>
  </cols>
  <sheetData>
    <row r="1" spans="1:14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22</v>
      </c>
      <c r="I1" s="3" t="s">
        <v>19</v>
      </c>
      <c r="J1" s="3" t="s">
        <v>20</v>
      </c>
      <c r="K1" s="3" t="s">
        <v>21</v>
      </c>
      <c r="L1" s="3" t="s">
        <v>25</v>
      </c>
      <c r="M1" s="3" t="s">
        <v>23</v>
      </c>
      <c r="N1" s="3" t="s">
        <v>24</v>
      </c>
    </row>
    <row r="2" spans="1:14" x14ac:dyDescent="0.35">
      <c r="A2" s="1">
        <v>45658</v>
      </c>
      <c r="B2" t="s">
        <v>7</v>
      </c>
      <c r="C2">
        <v>82</v>
      </c>
      <c r="D2">
        <v>900</v>
      </c>
      <c r="E2">
        <v>12</v>
      </c>
      <c r="F2" t="s">
        <v>8</v>
      </c>
      <c r="G2">
        <v>320</v>
      </c>
      <c r="H2">
        <f t="shared" ref="H2:H33" si="0">C2*2</f>
        <v>164</v>
      </c>
      <c r="I2" s="2">
        <f t="shared" ref="I2:I33" si="1">(C2*E2)+H2</f>
        <v>1148</v>
      </c>
      <c r="J2">
        <f>MAX(I2-D2,0)</f>
        <v>248</v>
      </c>
      <c r="K2" t="str">
        <f>IF(D2&lt;=I2,"Yes","No")</f>
        <v>Yes</v>
      </c>
      <c r="L2">
        <f>D2-C2</f>
        <v>818</v>
      </c>
      <c r="M2" s="1">
        <f>IF(K2="Yes", A2 + E2, "")</f>
        <v>45670</v>
      </c>
      <c r="N2">
        <f t="shared" ref="N2:N33" si="2">L2 + IF(A2=M2,J2,0)</f>
        <v>818</v>
      </c>
    </row>
    <row r="3" spans="1:14" x14ac:dyDescent="0.35">
      <c r="A3" s="1">
        <v>45658</v>
      </c>
      <c r="B3" t="s">
        <v>9</v>
      </c>
      <c r="C3">
        <v>97</v>
      </c>
      <c r="D3">
        <v>1000</v>
      </c>
      <c r="E3">
        <v>8</v>
      </c>
      <c r="F3" t="s">
        <v>10</v>
      </c>
      <c r="G3">
        <v>120</v>
      </c>
      <c r="H3">
        <f t="shared" si="0"/>
        <v>194</v>
      </c>
      <c r="I3" s="2">
        <f>(C3*E3)+H3</f>
        <v>970</v>
      </c>
      <c r="J3">
        <f t="shared" ref="J3:J66" si="3">MAX(I3-D3,0)</f>
        <v>0</v>
      </c>
      <c r="K3" t="str">
        <f>IF(D3&lt;=I3,"Yes","No")</f>
        <v>No</v>
      </c>
      <c r="L3">
        <f t="shared" ref="L3:L66" si="4">D3-C3</f>
        <v>903</v>
      </c>
      <c r="M3" s="1" t="str">
        <f>IF(K3="Yes", A3 + E3, "")</f>
        <v/>
      </c>
      <c r="N3">
        <f t="shared" si="2"/>
        <v>903</v>
      </c>
    </row>
    <row r="4" spans="1:14" x14ac:dyDescent="0.35">
      <c r="A4" s="1">
        <v>45658</v>
      </c>
      <c r="B4" t="s">
        <v>11</v>
      </c>
      <c r="C4">
        <v>118</v>
      </c>
      <c r="D4">
        <v>1500</v>
      </c>
      <c r="E4">
        <v>10</v>
      </c>
      <c r="F4" t="s">
        <v>12</v>
      </c>
      <c r="G4">
        <v>65</v>
      </c>
      <c r="H4">
        <f t="shared" si="0"/>
        <v>236</v>
      </c>
      <c r="I4" s="2">
        <f t="shared" si="1"/>
        <v>1416</v>
      </c>
      <c r="J4">
        <f t="shared" si="3"/>
        <v>0</v>
      </c>
      <c r="K4" t="str">
        <f t="shared" ref="K4:K66" si="5">IF(D4&lt;=I4,"Yes","No")</f>
        <v>No</v>
      </c>
      <c r="L4">
        <f t="shared" si="4"/>
        <v>1382</v>
      </c>
      <c r="M4" s="1" t="str">
        <f t="shared" ref="M4:M66" si="6">IF(K4="Yes", A4 + E4, "")</f>
        <v/>
      </c>
      <c r="N4">
        <f t="shared" si="2"/>
        <v>1382</v>
      </c>
    </row>
    <row r="5" spans="1:14" x14ac:dyDescent="0.35">
      <c r="A5" s="1">
        <v>45658</v>
      </c>
      <c r="B5" t="s">
        <v>13</v>
      </c>
      <c r="C5">
        <v>42</v>
      </c>
      <c r="D5">
        <v>300</v>
      </c>
      <c r="E5">
        <v>15</v>
      </c>
      <c r="F5" t="s">
        <v>14</v>
      </c>
      <c r="G5">
        <v>450</v>
      </c>
      <c r="H5">
        <f t="shared" si="0"/>
        <v>84</v>
      </c>
      <c r="I5" s="2">
        <f t="shared" si="1"/>
        <v>714</v>
      </c>
      <c r="J5">
        <f t="shared" si="3"/>
        <v>414</v>
      </c>
      <c r="K5" t="str">
        <f t="shared" si="5"/>
        <v>Yes</v>
      </c>
      <c r="L5">
        <f t="shared" si="4"/>
        <v>258</v>
      </c>
      <c r="M5" s="1">
        <f t="shared" si="6"/>
        <v>45673</v>
      </c>
      <c r="N5">
        <f t="shared" si="2"/>
        <v>258</v>
      </c>
    </row>
    <row r="6" spans="1:14" x14ac:dyDescent="0.35">
      <c r="A6" s="1">
        <v>45658</v>
      </c>
      <c r="B6" t="s">
        <v>15</v>
      </c>
      <c r="C6">
        <v>53</v>
      </c>
      <c r="D6">
        <v>400</v>
      </c>
      <c r="E6">
        <v>10</v>
      </c>
      <c r="F6" t="s">
        <v>16</v>
      </c>
      <c r="G6">
        <v>180</v>
      </c>
      <c r="H6">
        <f t="shared" si="0"/>
        <v>106</v>
      </c>
      <c r="I6" s="2">
        <f t="shared" si="1"/>
        <v>636</v>
      </c>
      <c r="J6">
        <f t="shared" si="3"/>
        <v>236</v>
      </c>
      <c r="K6" t="str">
        <f t="shared" si="5"/>
        <v>Yes</v>
      </c>
      <c r="L6">
        <f t="shared" si="4"/>
        <v>347</v>
      </c>
      <c r="M6" s="1">
        <f t="shared" si="6"/>
        <v>45668</v>
      </c>
      <c r="N6">
        <f t="shared" si="2"/>
        <v>347</v>
      </c>
    </row>
    <row r="7" spans="1:14" x14ac:dyDescent="0.35">
      <c r="A7" s="1">
        <v>45658</v>
      </c>
      <c r="B7" t="s">
        <v>17</v>
      </c>
      <c r="C7">
        <v>31</v>
      </c>
      <c r="D7">
        <v>350</v>
      </c>
      <c r="E7">
        <v>7</v>
      </c>
      <c r="F7" t="s">
        <v>18</v>
      </c>
      <c r="G7">
        <v>100</v>
      </c>
      <c r="H7">
        <f t="shared" si="0"/>
        <v>62</v>
      </c>
      <c r="I7" s="2">
        <f t="shared" si="1"/>
        <v>279</v>
      </c>
      <c r="J7">
        <f t="shared" si="3"/>
        <v>0</v>
      </c>
      <c r="K7" t="str">
        <f t="shared" si="5"/>
        <v>No</v>
      </c>
      <c r="L7">
        <f t="shared" si="4"/>
        <v>319</v>
      </c>
      <c r="M7" s="1" t="str">
        <f t="shared" si="6"/>
        <v/>
      </c>
      <c r="N7">
        <f t="shared" si="2"/>
        <v>319</v>
      </c>
    </row>
    <row r="8" spans="1:14" x14ac:dyDescent="0.35">
      <c r="A8" s="1">
        <v>45659</v>
      </c>
      <c r="B8" t="s">
        <v>7</v>
      </c>
      <c r="C8">
        <v>78</v>
      </c>
      <c r="D8">
        <v>818</v>
      </c>
      <c r="E8">
        <v>12</v>
      </c>
      <c r="F8" t="s">
        <v>8</v>
      </c>
      <c r="G8">
        <v>320</v>
      </c>
      <c r="H8">
        <f t="shared" si="0"/>
        <v>156</v>
      </c>
      <c r="I8" s="2">
        <f t="shared" si="1"/>
        <v>1092</v>
      </c>
      <c r="J8">
        <f t="shared" si="3"/>
        <v>274</v>
      </c>
      <c r="K8" t="str">
        <f t="shared" si="5"/>
        <v>Yes</v>
      </c>
      <c r="L8">
        <f t="shared" si="4"/>
        <v>740</v>
      </c>
      <c r="M8" s="1">
        <f t="shared" si="6"/>
        <v>45671</v>
      </c>
      <c r="N8">
        <f t="shared" si="2"/>
        <v>740</v>
      </c>
    </row>
    <row r="9" spans="1:14" x14ac:dyDescent="0.35">
      <c r="A9" s="1">
        <v>45659</v>
      </c>
      <c r="B9" t="s">
        <v>9</v>
      </c>
      <c r="C9">
        <v>101</v>
      </c>
      <c r="D9">
        <v>903</v>
      </c>
      <c r="E9">
        <v>8</v>
      </c>
      <c r="F9" t="s">
        <v>10</v>
      </c>
      <c r="G9">
        <v>120</v>
      </c>
      <c r="H9">
        <f t="shared" si="0"/>
        <v>202</v>
      </c>
      <c r="I9" s="2">
        <f t="shared" si="1"/>
        <v>1010</v>
      </c>
      <c r="J9">
        <f t="shared" si="3"/>
        <v>107</v>
      </c>
      <c r="K9" t="str">
        <f t="shared" si="5"/>
        <v>Yes</v>
      </c>
      <c r="L9">
        <f t="shared" si="4"/>
        <v>802</v>
      </c>
      <c r="M9" s="1">
        <f t="shared" si="6"/>
        <v>45667</v>
      </c>
      <c r="N9">
        <f t="shared" si="2"/>
        <v>802</v>
      </c>
    </row>
    <row r="10" spans="1:14" x14ac:dyDescent="0.35">
      <c r="A10" s="1">
        <v>45659</v>
      </c>
      <c r="B10" t="s">
        <v>11</v>
      </c>
      <c r="C10">
        <v>115</v>
      </c>
      <c r="D10">
        <v>1382</v>
      </c>
      <c r="E10">
        <v>10</v>
      </c>
      <c r="F10" t="s">
        <v>12</v>
      </c>
      <c r="G10">
        <v>65</v>
      </c>
      <c r="H10">
        <f t="shared" si="0"/>
        <v>230</v>
      </c>
      <c r="I10" s="2">
        <f t="shared" si="1"/>
        <v>1380</v>
      </c>
      <c r="J10">
        <f t="shared" si="3"/>
        <v>0</v>
      </c>
      <c r="K10" t="str">
        <f t="shared" si="5"/>
        <v>No</v>
      </c>
      <c r="L10">
        <f t="shared" si="4"/>
        <v>1267</v>
      </c>
      <c r="M10" s="1" t="str">
        <f t="shared" si="6"/>
        <v/>
      </c>
      <c r="N10">
        <f t="shared" si="2"/>
        <v>1267</v>
      </c>
    </row>
    <row r="11" spans="1:14" x14ac:dyDescent="0.35">
      <c r="A11" s="1">
        <v>45659</v>
      </c>
      <c r="B11" t="s">
        <v>13</v>
      </c>
      <c r="C11">
        <v>37</v>
      </c>
      <c r="D11">
        <v>258</v>
      </c>
      <c r="E11">
        <v>15</v>
      </c>
      <c r="F11" t="s">
        <v>14</v>
      </c>
      <c r="G11">
        <v>450</v>
      </c>
      <c r="H11">
        <f t="shared" si="0"/>
        <v>74</v>
      </c>
      <c r="I11" s="2">
        <f t="shared" si="1"/>
        <v>629</v>
      </c>
      <c r="J11">
        <f t="shared" si="3"/>
        <v>371</v>
      </c>
      <c r="K11" t="str">
        <f t="shared" si="5"/>
        <v>Yes</v>
      </c>
      <c r="L11">
        <f t="shared" si="4"/>
        <v>221</v>
      </c>
      <c r="M11" s="1">
        <f t="shared" si="6"/>
        <v>45674</v>
      </c>
      <c r="N11">
        <f t="shared" si="2"/>
        <v>221</v>
      </c>
    </row>
    <row r="12" spans="1:14" x14ac:dyDescent="0.35">
      <c r="A12" s="1">
        <v>45659</v>
      </c>
      <c r="B12" t="s">
        <v>15</v>
      </c>
      <c r="C12">
        <v>50</v>
      </c>
      <c r="D12">
        <v>347</v>
      </c>
      <c r="E12">
        <v>10</v>
      </c>
      <c r="F12" t="s">
        <v>16</v>
      </c>
      <c r="G12">
        <v>180</v>
      </c>
      <c r="H12">
        <f t="shared" si="0"/>
        <v>100</v>
      </c>
      <c r="I12" s="2">
        <f t="shared" si="1"/>
        <v>600</v>
      </c>
      <c r="J12">
        <f t="shared" si="3"/>
        <v>253</v>
      </c>
      <c r="K12" t="str">
        <f t="shared" si="5"/>
        <v>Yes</v>
      </c>
      <c r="L12">
        <f t="shared" si="4"/>
        <v>297</v>
      </c>
      <c r="M12" s="1">
        <f t="shared" si="6"/>
        <v>45669</v>
      </c>
      <c r="N12">
        <f t="shared" si="2"/>
        <v>297</v>
      </c>
    </row>
    <row r="13" spans="1:14" x14ac:dyDescent="0.35">
      <c r="A13" s="1">
        <v>45659</v>
      </c>
      <c r="B13" t="s">
        <v>17</v>
      </c>
      <c r="C13">
        <v>29</v>
      </c>
      <c r="D13">
        <v>319</v>
      </c>
      <c r="E13">
        <v>7</v>
      </c>
      <c r="F13" t="s">
        <v>18</v>
      </c>
      <c r="G13">
        <v>100</v>
      </c>
      <c r="H13">
        <f t="shared" si="0"/>
        <v>58</v>
      </c>
      <c r="I13" s="2">
        <f t="shared" si="1"/>
        <v>261</v>
      </c>
      <c r="J13">
        <f t="shared" si="3"/>
        <v>0</v>
      </c>
      <c r="K13" t="str">
        <f t="shared" si="5"/>
        <v>No</v>
      </c>
      <c r="L13">
        <f t="shared" si="4"/>
        <v>290</v>
      </c>
      <c r="M13" s="1" t="str">
        <f t="shared" si="6"/>
        <v/>
      </c>
      <c r="N13">
        <f t="shared" si="2"/>
        <v>290</v>
      </c>
    </row>
    <row r="14" spans="1:14" x14ac:dyDescent="0.35">
      <c r="A14" s="1">
        <v>45660</v>
      </c>
      <c r="B14" t="s">
        <v>7</v>
      </c>
      <c r="C14">
        <v>85</v>
      </c>
      <c r="D14">
        <v>740</v>
      </c>
      <c r="E14">
        <v>12</v>
      </c>
      <c r="F14" t="s">
        <v>8</v>
      </c>
      <c r="G14">
        <v>320</v>
      </c>
      <c r="H14">
        <f t="shared" si="0"/>
        <v>170</v>
      </c>
      <c r="I14" s="2">
        <f t="shared" si="1"/>
        <v>1190</v>
      </c>
      <c r="J14">
        <f t="shared" si="3"/>
        <v>450</v>
      </c>
      <c r="K14" t="str">
        <f t="shared" si="5"/>
        <v>Yes</v>
      </c>
      <c r="L14">
        <f t="shared" si="4"/>
        <v>655</v>
      </c>
      <c r="M14" s="1">
        <f t="shared" si="6"/>
        <v>45672</v>
      </c>
      <c r="N14">
        <f t="shared" si="2"/>
        <v>655</v>
      </c>
    </row>
    <row r="15" spans="1:14" x14ac:dyDescent="0.35">
      <c r="A15" s="1">
        <v>45660</v>
      </c>
      <c r="B15" t="s">
        <v>9</v>
      </c>
      <c r="C15">
        <v>92</v>
      </c>
      <c r="D15">
        <v>802</v>
      </c>
      <c r="E15">
        <v>8</v>
      </c>
      <c r="F15" t="s">
        <v>10</v>
      </c>
      <c r="G15">
        <v>120</v>
      </c>
      <c r="H15">
        <f t="shared" si="0"/>
        <v>184</v>
      </c>
      <c r="I15" s="2">
        <f t="shared" si="1"/>
        <v>920</v>
      </c>
      <c r="J15">
        <f t="shared" si="3"/>
        <v>118</v>
      </c>
      <c r="K15" t="str">
        <f t="shared" si="5"/>
        <v>Yes</v>
      </c>
      <c r="L15">
        <f t="shared" si="4"/>
        <v>710</v>
      </c>
      <c r="M15" s="1">
        <f t="shared" si="6"/>
        <v>45668</v>
      </c>
      <c r="N15">
        <f t="shared" si="2"/>
        <v>710</v>
      </c>
    </row>
    <row r="16" spans="1:14" x14ac:dyDescent="0.35">
      <c r="A16" s="1">
        <v>45660</v>
      </c>
      <c r="B16" t="s">
        <v>11</v>
      </c>
      <c r="C16">
        <v>120</v>
      </c>
      <c r="D16">
        <v>1267</v>
      </c>
      <c r="E16">
        <v>10</v>
      </c>
      <c r="F16" t="s">
        <v>12</v>
      </c>
      <c r="G16">
        <v>65</v>
      </c>
      <c r="H16">
        <f t="shared" si="0"/>
        <v>240</v>
      </c>
      <c r="I16" s="2">
        <f t="shared" si="1"/>
        <v>1440</v>
      </c>
      <c r="J16">
        <f t="shared" si="3"/>
        <v>173</v>
      </c>
      <c r="K16" t="str">
        <f t="shared" si="5"/>
        <v>Yes</v>
      </c>
      <c r="L16">
        <f t="shared" si="4"/>
        <v>1147</v>
      </c>
      <c r="M16" s="1">
        <f t="shared" si="6"/>
        <v>45670</v>
      </c>
      <c r="N16">
        <f t="shared" si="2"/>
        <v>1147</v>
      </c>
    </row>
    <row r="17" spans="1:14" x14ac:dyDescent="0.35">
      <c r="A17" s="1">
        <v>45660</v>
      </c>
      <c r="B17" t="s">
        <v>13</v>
      </c>
      <c r="C17">
        <v>40</v>
      </c>
      <c r="D17">
        <v>221</v>
      </c>
      <c r="E17">
        <v>15</v>
      </c>
      <c r="F17" t="s">
        <v>14</v>
      </c>
      <c r="G17">
        <v>450</v>
      </c>
      <c r="H17">
        <f t="shared" si="0"/>
        <v>80</v>
      </c>
      <c r="I17" s="2">
        <f t="shared" si="1"/>
        <v>680</v>
      </c>
      <c r="J17">
        <f t="shared" si="3"/>
        <v>459</v>
      </c>
      <c r="K17" t="str">
        <f t="shared" si="5"/>
        <v>Yes</v>
      </c>
      <c r="L17">
        <f t="shared" si="4"/>
        <v>181</v>
      </c>
      <c r="M17" s="1">
        <f t="shared" si="6"/>
        <v>45675</v>
      </c>
      <c r="N17">
        <f t="shared" si="2"/>
        <v>181</v>
      </c>
    </row>
    <row r="18" spans="1:14" x14ac:dyDescent="0.35">
      <c r="A18" s="1">
        <v>45660</v>
      </c>
      <c r="B18" t="s">
        <v>15</v>
      </c>
      <c r="C18">
        <v>48</v>
      </c>
      <c r="D18">
        <v>297</v>
      </c>
      <c r="E18">
        <v>10</v>
      </c>
      <c r="F18" t="s">
        <v>16</v>
      </c>
      <c r="G18">
        <v>180</v>
      </c>
      <c r="H18">
        <f t="shared" si="0"/>
        <v>96</v>
      </c>
      <c r="I18" s="2">
        <f t="shared" si="1"/>
        <v>576</v>
      </c>
      <c r="J18">
        <f t="shared" si="3"/>
        <v>279</v>
      </c>
      <c r="K18" t="str">
        <f t="shared" si="5"/>
        <v>Yes</v>
      </c>
      <c r="L18">
        <f t="shared" si="4"/>
        <v>249</v>
      </c>
      <c r="M18" s="1">
        <f t="shared" si="6"/>
        <v>45670</v>
      </c>
      <c r="N18">
        <f t="shared" si="2"/>
        <v>249</v>
      </c>
    </row>
    <row r="19" spans="1:14" x14ac:dyDescent="0.35">
      <c r="A19" s="1">
        <v>45660</v>
      </c>
      <c r="B19" t="s">
        <v>17</v>
      </c>
      <c r="C19">
        <v>33</v>
      </c>
      <c r="D19">
        <v>290</v>
      </c>
      <c r="E19">
        <v>7</v>
      </c>
      <c r="F19" t="s">
        <v>18</v>
      </c>
      <c r="G19">
        <v>100</v>
      </c>
      <c r="H19">
        <f t="shared" si="0"/>
        <v>66</v>
      </c>
      <c r="I19" s="2">
        <f t="shared" si="1"/>
        <v>297</v>
      </c>
      <c r="J19">
        <f t="shared" si="3"/>
        <v>7</v>
      </c>
      <c r="K19" t="str">
        <f t="shared" si="5"/>
        <v>Yes</v>
      </c>
      <c r="L19">
        <f t="shared" si="4"/>
        <v>257</v>
      </c>
      <c r="M19" s="1">
        <f t="shared" si="6"/>
        <v>45667</v>
      </c>
      <c r="N19">
        <f t="shared" si="2"/>
        <v>257</v>
      </c>
    </row>
    <row r="20" spans="1:14" x14ac:dyDescent="0.35">
      <c r="A20" s="1">
        <v>45661</v>
      </c>
      <c r="B20" t="s">
        <v>7</v>
      </c>
      <c r="C20">
        <v>80</v>
      </c>
      <c r="D20">
        <v>655</v>
      </c>
      <c r="E20">
        <v>12</v>
      </c>
      <c r="F20" t="s">
        <v>8</v>
      </c>
      <c r="G20">
        <v>320</v>
      </c>
      <c r="H20">
        <f t="shared" si="0"/>
        <v>160</v>
      </c>
      <c r="I20" s="2">
        <f t="shared" si="1"/>
        <v>1120</v>
      </c>
      <c r="J20">
        <f t="shared" si="3"/>
        <v>465</v>
      </c>
      <c r="K20" t="str">
        <f t="shared" si="5"/>
        <v>Yes</v>
      </c>
      <c r="L20">
        <f t="shared" si="4"/>
        <v>575</v>
      </c>
      <c r="M20" s="1">
        <f t="shared" si="6"/>
        <v>45673</v>
      </c>
      <c r="N20">
        <f t="shared" si="2"/>
        <v>575</v>
      </c>
    </row>
    <row r="21" spans="1:14" x14ac:dyDescent="0.35">
      <c r="A21" s="1">
        <v>45661</v>
      </c>
      <c r="B21" t="s">
        <v>9</v>
      </c>
      <c r="C21">
        <v>95</v>
      </c>
      <c r="D21">
        <v>710</v>
      </c>
      <c r="E21">
        <v>8</v>
      </c>
      <c r="F21" t="s">
        <v>10</v>
      </c>
      <c r="G21">
        <v>120</v>
      </c>
      <c r="H21">
        <f t="shared" si="0"/>
        <v>190</v>
      </c>
      <c r="I21" s="2">
        <f t="shared" si="1"/>
        <v>950</v>
      </c>
      <c r="J21">
        <f t="shared" si="3"/>
        <v>240</v>
      </c>
      <c r="K21" t="str">
        <f t="shared" si="5"/>
        <v>Yes</v>
      </c>
      <c r="L21">
        <f t="shared" si="4"/>
        <v>615</v>
      </c>
      <c r="M21" s="1">
        <f t="shared" si="6"/>
        <v>45669</v>
      </c>
      <c r="N21">
        <f t="shared" si="2"/>
        <v>615</v>
      </c>
    </row>
    <row r="22" spans="1:14" x14ac:dyDescent="0.35">
      <c r="A22" s="1">
        <v>45661</v>
      </c>
      <c r="B22" t="s">
        <v>11</v>
      </c>
      <c r="C22">
        <v>112</v>
      </c>
      <c r="D22">
        <v>1147</v>
      </c>
      <c r="E22">
        <v>10</v>
      </c>
      <c r="F22" t="s">
        <v>12</v>
      </c>
      <c r="G22">
        <v>65</v>
      </c>
      <c r="H22">
        <f t="shared" si="0"/>
        <v>224</v>
      </c>
      <c r="I22" s="2">
        <f t="shared" si="1"/>
        <v>1344</v>
      </c>
      <c r="J22">
        <f t="shared" si="3"/>
        <v>197</v>
      </c>
      <c r="K22" t="str">
        <f t="shared" si="5"/>
        <v>Yes</v>
      </c>
      <c r="L22">
        <f t="shared" si="4"/>
        <v>1035</v>
      </c>
      <c r="M22" s="1">
        <f t="shared" si="6"/>
        <v>45671</v>
      </c>
      <c r="N22">
        <f t="shared" si="2"/>
        <v>1035</v>
      </c>
    </row>
    <row r="23" spans="1:14" x14ac:dyDescent="0.35">
      <c r="A23" s="1">
        <v>45661</v>
      </c>
      <c r="B23" t="s">
        <v>13</v>
      </c>
      <c r="C23">
        <v>38</v>
      </c>
      <c r="D23">
        <v>181</v>
      </c>
      <c r="E23">
        <v>15</v>
      </c>
      <c r="F23" t="s">
        <v>14</v>
      </c>
      <c r="G23">
        <v>450</v>
      </c>
      <c r="H23">
        <f t="shared" si="0"/>
        <v>76</v>
      </c>
      <c r="I23" s="2">
        <f t="shared" si="1"/>
        <v>646</v>
      </c>
      <c r="J23">
        <f t="shared" si="3"/>
        <v>465</v>
      </c>
      <c r="K23" t="str">
        <f t="shared" si="5"/>
        <v>Yes</v>
      </c>
      <c r="L23">
        <f t="shared" si="4"/>
        <v>143</v>
      </c>
      <c r="M23" s="1">
        <f t="shared" si="6"/>
        <v>45676</v>
      </c>
      <c r="N23">
        <f t="shared" si="2"/>
        <v>143</v>
      </c>
    </row>
    <row r="24" spans="1:14" x14ac:dyDescent="0.35">
      <c r="A24" s="1">
        <v>45661</v>
      </c>
      <c r="B24" t="s">
        <v>15</v>
      </c>
      <c r="C24">
        <v>55</v>
      </c>
      <c r="D24">
        <v>249</v>
      </c>
      <c r="E24">
        <v>10</v>
      </c>
      <c r="F24" t="s">
        <v>16</v>
      </c>
      <c r="G24">
        <v>180</v>
      </c>
      <c r="H24">
        <f t="shared" si="0"/>
        <v>110</v>
      </c>
      <c r="I24" s="2">
        <f t="shared" si="1"/>
        <v>660</v>
      </c>
      <c r="J24">
        <f t="shared" si="3"/>
        <v>411</v>
      </c>
      <c r="K24" t="str">
        <f t="shared" si="5"/>
        <v>Yes</v>
      </c>
      <c r="L24">
        <f t="shared" si="4"/>
        <v>194</v>
      </c>
      <c r="M24" s="1">
        <f t="shared" si="6"/>
        <v>45671</v>
      </c>
      <c r="N24">
        <f t="shared" si="2"/>
        <v>194</v>
      </c>
    </row>
    <row r="25" spans="1:14" x14ac:dyDescent="0.35">
      <c r="A25" s="1">
        <v>45661</v>
      </c>
      <c r="B25" t="s">
        <v>17</v>
      </c>
      <c r="C25">
        <v>30</v>
      </c>
      <c r="D25">
        <v>257</v>
      </c>
      <c r="E25">
        <v>7</v>
      </c>
      <c r="F25" t="s">
        <v>18</v>
      </c>
      <c r="G25">
        <v>100</v>
      </c>
      <c r="H25">
        <f t="shared" si="0"/>
        <v>60</v>
      </c>
      <c r="I25" s="2">
        <f t="shared" si="1"/>
        <v>270</v>
      </c>
      <c r="J25">
        <f t="shared" si="3"/>
        <v>13</v>
      </c>
      <c r="K25" t="str">
        <f t="shared" si="5"/>
        <v>Yes</v>
      </c>
      <c r="L25">
        <f t="shared" si="4"/>
        <v>227</v>
      </c>
      <c r="M25" s="1">
        <f t="shared" si="6"/>
        <v>45668</v>
      </c>
      <c r="N25">
        <f t="shared" si="2"/>
        <v>227</v>
      </c>
    </row>
    <row r="26" spans="1:14" x14ac:dyDescent="0.35">
      <c r="A26" s="1">
        <v>45662</v>
      </c>
      <c r="B26" t="s">
        <v>7</v>
      </c>
      <c r="C26">
        <v>83</v>
      </c>
      <c r="D26">
        <v>575</v>
      </c>
      <c r="E26">
        <v>12</v>
      </c>
      <c r="F26" t="s">
        <v>8</v>
      </c>
      <c r="G26">
        <v>320</v>
      </c>
      <c r="H26">
        <f t="shared" si="0"/>
        <v>166</v>
      </c>
      <c r="I26" s="2">
        <f t="shared" si="1"/>
        <v>1162</v>
      </c>
      <c r="J26">
        <f t="shared" si="3"/>
        <v>587</v>
      </c>
      <c r="K26" t="str">
        <f t="shared" si="5"/>
        <v>Yes</v>
      </c>
      <c r="L26">
        <f t="shared" si="4"/>
        <v>492</v>
      </c>
      <c r="M26" s="1">
        <f t="shared" si="6"/>
        <v>45674</v>
      </c>
      <c r="N26">
        <f t="shared" si="2"/>
        <v>492</v>
      </c>
    </row>
    <row r="27" spans="1:14" x14ac:dyDescent="0.35">
      <c r="A27" s="1">
        <v>45662</v>
      </c>
      <c r="B27" t="s">
        <v>9</v>
      </c>
      <c r="C27">
        <v>98</v>
      </c>
      <c r="D27">
        <v>615</v>
      </c>
      <c r="E27">
        <v>8</v>
      </c>
      <c r="F27" t="s">
        <v>10</v>
      </c>
      <c r="G27">
        <v>120</v>
      </c>
      <c r="H27">
        <f t="shared" si="0"/>
        <v>196</v>
      </c>
      <c r="I27" s="2">
        <f t="shared" si="1"/>
        <v>980</v>
      </c>
      <c r="J27">
        <f t="shared" si="3"/>
        <v>365</v>
      </c>
      <c r="K27" t="str">
        <f t="shared" si="5"/>
        <v>Yes</v>
      </c>
      <c r="L27">
        <f t="shared" si="4"/>
        <v>517</v>
      </c>
      <c r="M27" s="1">
        <f t="shared" si="6"/>
        <v>45670</v>
      </c>
      <c r="N27">
        <f t="shared" si="2"/>
        <v>517</v>
      </c>
    </row>
    <row r="28" spans="1:14" x14ac:dyDescent="0.35">
      <c r="A28" s="1">
        <v>45662</v>
      </c>
      <c r="B28" t="s">
        <v>11</v>
      </c>
      <c r="C28">
        <v>120</v>
      </c>
      <c r="D28">
        <v>1035</v>
      </c>
      <c r="E28">
        <v>10</v>
      </c>
      <c r="F28" t="s">
        <v>12</v>
      </c>
      <c r="G28">
        <v>65</v>
      </c>
      <c r="H28">
        <f t="shared" si="0"/>
        <v>240</v>
      </c>
      <c r="I28" s="2">
        <f t="shared" si="1"/>
        <v>1440</v>
      </c>
      <c r="J28">
        <f t="shared" si="3"/>
        <v>405</v>
      </c>
      <c r="K28" t="str">
        <f t="shared" si="5"/>
        <v>Yes</v>
      </c>
      <c r="L28">
        <f t="shared" si="4"/>
        <v>915</v>
      </c>
      <c r="M28" s="1">
        <f t="shared" si="6"/>
        <v>45672</v>
      </c>
      <c r="N28">
        <f t="shared" si="2"/>
        <v>915</v>
      </c>
    </row>
    <row r="29" spans="1:14" x14ac:dyDescent="0.35">
      <c r="A29" s="1">
        <v>45662</v>
      </c>
      <c r="B29" t="s">
        <v>13</v>
      </c>
      <c r="C29">
        <v>41</v>
      </c>
      <c r="D29">
        <v>143</v>
      </c>
      <c r="E29">
        <v>15</v>
      </c>
      <c r="F29" t="s">
        <v>14</v>
      </c>
      <c r="G29">
        <v>450</v>
      </c>
      <c r="H29">
        <f t="shared" si="0"/>
        <v>82</v>
      </c>
      <c r="I29" s="2">
        <f t="shared" si="1"/>
        <v>697</v>
      </c>
      <c r="J29">
        <f t="shared" si="3"/>
        <v>554</v>
      </c>
      <c r="K29" t="str">
        <f t="shared" si="5"/>
        <v>Yes</v>
      </c>
      <c r="L29">
        <f t="shared" si="4"/>
        <v>102</v>
      </c>
      <c r="M29" s="1">
        <f t="shared" si="6"/>
        <v>45677</v>
      </c>
      <c r="N29">
        <f t="shared" si="2"/>
        <v>102</v>
      </c>
    </row>
    <row r="30" spans="1:14" x14ac:dyDescent="0.35">
      <c r="A30" s="1">
        <v>45662</v>
      </c>
      <c r="B30" t="s">
        <v>15</v>
      </c>
      <c r="C30">
        <v>52</v>
      </c>
      <c r="D30">
        <v>194</v>
      </c>
      <c r="E30">
        <v>10</v>
      </c>
      <c r="F30" t="s">
        <v>16</v>
      </c>
      <c r="G30">
        <v>180</v>
      </c>
      <c r="H30">
        <f t="shared" si="0"/>
        <v>104</v>
      </c>
      <c r="I30" s="2">
        <f t="shared" si="1"/>
        <v>624</v>
      </c>
      <c r="J30">
        <f t="shared" si="3"/>
        <v>430</v>
      </c>
      <c r="K30" t="str">
        <f t="shared" si="5"/>
        <v>Yes</v>
      </c>
      <c r="L30">
        <f t="shared" si="4"/>
        <v>142</v>
      </c>
      <c r="M30" s="1">
        <f t="shared" si="6"/>
        <v>45672</v>
      </c>
      <c r="N30">
        <f t="shared" si="2"/>
        <v>142</v>
      </c>
    </row>
    <row r="31" spans="1:14" x14ac:dyDescent="0.35">
      <c r="A31" s="1">
        <v>45662</v>
      </c>
      <c r="B31" t="s">
        <v>17</v>
      </c>
      <c r="C31">
        <v>28</v>
      </c>
      <c r="D31">
        <v>227</v>
      </c>
      <c r="E31">
        <v>7</v>
      </c>
      <c r="F31" t="s">
        <v>18</v>
      </c>
      <c r="G31">
        <v>100</v>
      </c>
      <c r="H31">
        <f t="shared" si="0"/>
        <v>56</v>
      </c>
      <c r="I31" s="2">
        <f t="shared" si="1"/>
        <v>252</v>
      </c>
      <c r="J31">
        <f t="shared" si="3"/>
        <v>25</v>
      </c>
      <c r="K31" t="str">
        <f t="shared" si="5"/>
        <v>Yes</v>
      </c>
      <c r="L31">
        <f t="shared" si="4"/>
        <v>199</v>
      </c>
      <c r="M31" s="1">
        <f t="shared" si="6"/>
        <v>45669</v>
      </c>
      <c r="N31">
        <f t="shared" si="2"/>
        <v>199</v>
      </c>
    </row>
    <row r="32" spans="1:14" x14ac:dyDescent="0.35">
      <c r="A32" s="1">
        <v>45663</v>
      </c>
      <c r="B32" t="s">
        <v>7</v>
      </c>
      <c r="C32">
        <v>79</v>
      </c>
      <c r="D32">
        <v>492</v>
      </c>
      <c r="E32">
        <v>12</v>
      </c>
      <c r="F32" t="s">
        <v>8</v>
      </c>
      <c r="G32">
        <v>320</v>
      </c>
      <c r="H32">
        <f t="shared" si="0"/>
        <v>158</v>
      </c>
      <c r="I32" s="2">
        <f t="shared" si="1"/>
        <v>1106</v>
      </c>
      <c r="J32">
        <f t="shared" si="3"/>
        <v>614</v>
      </c>
      <c r="K32" t="str">
        <f t="shared" si="5"/>
        <v>Yes</v>
      </c>
      <c r="L32">
        <f t="shared" si="4"/>
        <v>413</v>
      </c>
      <c r="M32" s="1">
        <f t="shared" si="6"/>
        <v>45675</v>
      </c>
      <c r="N32">
        <f t="shared" si="2"/>
        <v>413</v>
      </c>
    </row>
    <row r="33" spans="1:14" x14ac:dyDescent="0.35">
      <c r="A33" s="1">
        <v>45663</v>
      </c>
      <c r="B33" t="s">
        <v>9</v>
      </c>
      <c r="C33">
        <v>93</v>
      </c>
      <c r="D33">
        <v>517</v>
      </c>
      <c r="E33">
        <v>8</v>
      </c>
      <c r="F33" t="s">
        <v>10</v>
      </c>
      <c r="G33">
        <v>120</v>
      </c>
      <c r="H33">
        <f t="shared" si="0"/>
        <v>186</v>
      </c>
      <c r="I33" s="2">
        <f t="shared" si="1"/>
        <v>930</v>
      </c>
      <c r="J33">
        <f t="shared" si="3"/>
        <v>413</v>
      </c>
      <c r="K33" t="str">
        <f t="shared" si="5"/>
        <v>Yes</v>
      </c>
      <c r="L33">
        <f t="shared" si="4"/>
        <v>424</v>
      </c>
      <c r="M33" s="1">
        <f t="shared" si="6"/>
        <v>45671</v>
      </c>
      <c r="N33">
        <f t="shared" si="2"/>
        <v>424</v>
      </c>
    </row>
    <row r="34" spans="1:14" x14ac:dyDescent="0.35">
      <c r="A34" s="1">
        <v>45663</v>
      </c>
      <c r="B34" t="s">
        <v>11</v>
      </c>
      <c r="C34">
        <v>118</v>
      </c>
      <c r="D34">
        <v>915</v>
      </c>
      <c r="E34">
        <v>10</v>
      </c>
      <c r="F34" t="s">
        <v>12</v>
      </c>
      <c r="G34">
        <v>65</v>
      </c>
      <c r="H34">
        <f t="shared" ref="H34:H65" si="7">C34*2</f>
        <v>236</v>
      </c>
      <c r="I34" s="2">
        <f t="shared" ref="I34:I65" si="8">(C34*E34)+H34</f>
        <v>1416</v>
      </c>
      <c r="J34">
        <f t="shared" si="3"/>
        <v>501</v>
      </c>
      <c r="K34" t="str">
        <f t="shared" si="5"/>
        <v>Yes</v>
      </c>
      <c r="L34">
        <f t="shared" si="4"/>
        <v>797</v>
      </c>
      <c r="M34" s="1">
        <f t="shared" si="6"/>
        <v>45673</v>
      </c>
      <c r="N34">
        <f t="shared" ref="N34:N65" si="9">L34 + IF(A34=M34,J34,0)</f>
        <v>797</v>
      </c>
    </row>
    <row r="35" spans="1:14" x14ac:dyDescent="0.35">
      <c r="A35" s="1">
        <v>45663</v>
      </c>
      <c r="B35" t="s">
        <v>13</v>
      </c>
      <c r="C35">
        <v>39</v>
      </c>
      <c r="D35">
        <v>102</v>
      </c>
      <c r="E35">
        <v>15</v>
      </c>
      <c r="F35" t="s">
        <v>14</v>
      </c>
      <c r="G35">
        <v>450</v>
      </c>
      <c r="H35">
        <f t="shared" si="7"/>
        <v>78</v>
      </c>
      <c r="I35" s="2">
        <f t="shared" si="8"/>
        <v>663</v>
      </c>
      <c r="J35">
        <f t="shared" si="3"/>
        <v>561</v>
      </c>
      <c r="K35" t="str">
        <f t="shared" si="5"/>
        <v>Yes</v>
      </c>
      <c r="L35">
        <f t="shared" si="4"/>
        <v>63</v>
      </c>
      <c r="M35" s="1">
        <f t="shared" si="6"/>
        <v>45678</v>
      </c>
      <c r="N35">
        <f t="shared" si="9"/>
        <v>63</v>
      </c>
    </row>
    <row r="36" spans="1:14" x14ac:dyDescent="0.35">
      <c r="A36" s="1">
        <v>45663</v>
      </c>
      <c r="B36" t="s">
        <v>15</v>
      </c>
      <c r="C36">
        <v>50</v>
      </c>
      <c r="D36">
        <v>142</v>
      </c>
      <c r="E36">
        <v>10</v>
      </c>
      <c r="F36" t="s">
        <v>16</v>
      </c>
      <c r="G36">
        <v>180</v>
      </c>
      <c r="H36">
        <f t="shared" si="7"/>
        <v>100</v>
      </c>
      <c r="I36" s="2">
        <f t="shared" si="8"/>
        <v>600</v>
      </c>
      <c r="J36">
        <f t="shared" si="3"/>
        <v>458</v>
      </c>
      <c r="K36" t="str">
        <f t="shared" si="5"/>
        <v>Yes</v>
      </c>
      <c r="L36">
        <f t="shared" si="4"/>
        <v>92</v>
      </c>
      <c r="M36" s="1">
        <f t="shared" si="6"/>
        <v>45673</v>
      </c>
      <c r="N36">
        <f t="shared" si="9"/>
        <v>92</v>
      </c>
    </row>
    <row r="37" spans="1:14" x14ac:dyDescent="0.35">
      <c r="A37" s="1">
        <v>45663</v>
      </c>
      <c r="B37" t="s">
        <v>17</v>
      </c>
      <c r="C37">
        <v>32</v>
      </c>
      <c r="D37">
        <v>199</v>
      </c>
      <c r="E37">
        <v>7</v>
      </c>
      <c r="F37" t="s">
        <v>18</v>
      </c>
      <c r="G37">
        <v>100</v>
      </c>
      <c r="H37">
        <f t="shared" si="7"/>
        <v>64</v>
      </c>
      <c r="I37" s="2">
        <f t="shared" si="8"/>
        <v>288</v>
      </c>
      <c r="J37">
        <f t="shared" si="3"/>
        <v>89</v>
      </c>
      <c r="K37" t="str">
        <f t="shared" si="5"/>
        <v>Yes</v>
      </c>
      <c r="L37">
        <f t="shared" si="4"/>
        <v>167</v>
      </c>
      <c r="M37" s="1">
        <f t="shared" si="6"/>
        <v>45670</v>
      </c>
      <c r="N37">
        <f t="shared" si="9"/>
        <v>167</v>
      </c>
    </row>
    <row r="38" spans="1:14" x14ac:dyDescent="0.35">
      <c r="A38" s="1">
        <v>45664</v>
      </c>
      <c r="B38" t="s">
        <v>7</v>
      </c>
      <c r="C38">
        <v>81</v>
      </c>
      <c r="D38">
        <v>413</v>
      </c>
      <c r="E38">
        <v>12</v>
      </c>
      <c r="F38" t="s">
        <v>8</v>
      </c>
      <c r="G38">
        <v>320</v>
      </c>
      <c r="H38">
        <f t="shared" si="7"/>
        <v>162</v>
      </c>
      <c r="I38" s="2">
        <f t="shared" si="8"/>
        <v>1134</v>
      </c>
      <c r="J38">
        <f t="shared" si="3"/>
        <v>721</v>
      </c>
      <c r="K38" t="str">
        <f t="shared" si="5"/>
        <v>Yes</v>
      </c>
      <c r="L38">
        <f t="shared" si="4"/>
        <v>332</v>
      </c>
      <c r="M38" s="1">
        <f t="shared" si="6"/>
        <v>45676</v>
      </c>
      <c r="N38">
        <f t="shared" si="9"/>
        <v>332</v>
      </c>
    </row>
    <row r="39" spans="1:14" x14ac:dyDescent="0.35">
      <c r="A39" s="1">
        <v>45664</v>
      </c>
      <c r="B39" t="s">
        <v>9</v>
      </c>
      <c r="C39">
        <v>97</v>
      </c>
      <c r="D39">
        <v>424</v>
      </c>
      <c r="E39">
        <v>8</v>
      </c>
      <c r="F39" t="s">
        <v>10</v>
      </c>
      <c r="G39">
        <v>120</v>
      </c>
      <c r="H39">
        <f t="shared" si="7"/>
        <v>194</v>
      </c>
      <c r="I39" s="2">
        <f t="shared" si="8"/>
        <v>970</v>
      </c>
      <c r="J39">
        <f t="shared" si="3"/>
        <v>546</v>
      </c>
      <c r="K39" t="str">
        <f t="shared" si="5"/>
        <v>Yes</v>
      </c>
      <c r="L39">
        <f t="shared" si="4"/>
        <v>327</v>
      </c>
      <c r="M39" s="1">
        <f t="shared" si="6"/>
        <v>45672</v>
      </c>
      <c r="N39">
        <f t="shared" si="9"/>
        <v>327</v>
      </c>
    </row>
    <row r="40" spans="1:14" x14ac:dyDescent="0.35">
      <c r="A40" s="1">
        <v>45664</v>
      </c>
      <c r="B40" t="s">
        <v>11</v>
      </c>
      <c r="C40">
        <v>116</v>
      </c>
      <c r="D40">
        <v>797</v>
      </c>
      <c r="E40">
        <v>10</v>
      </c>
      <c r="F40" t="s">
        <v>12</v>
      </c>
      <c r="G40">
        <v>65</v>
      </c>
      <c r="H40">
        <f t="shared" si="7"/>
        <v>232</v>
      </c>
      <c r="I40" s="2">
        <f t="shared" si="8"/>
        <v>1392</v>
      </c>
      <c r="J40">
        <f t="shared" si="3"/>
        <v>595</v>
      </c>
      <c r="K40" t="str">
        <f t="shared" si="5"/>
        <v>Yes</v>
      </c>
      <c r="L40">
        <f t="shared" si="4"/>
        <v>681</v>
      </c>
      <c r="M40" s="1">
        <f t="shared" si="6"/>
        <v>45674</v>
      </c>
      <c r="N40">
        <f t="shared" si="9"/>
        <v>681</v>
      </c>
    </row>
    <row r="41" spans="1:14" x14ac:dyDescent="0.35">
      <c r="A41" s="1">
        <v>45664</v>
      </c>
      <c r="B41" t="s">
        <v>13</v>
      </c>
      <c r="C41">
        <v>36</v>
      </c>
      <c r="D41">
        <v>63</v>
      </c>
      <c r="E41">
        <v>15</v>
      </c>
      <c r="F41" t="s">
        <v>14</v>
      </c>
      <c r="G41">
        <v>450</v>
      </c>
      <c r="H41">
        <f t="shared" si="7"/>
        <v>72</v>
      </c>
      <c r="I41" s="2">
        <f t="shared" si="8"/>
        <v>612</v>
      </c>
      <c r="J41">
        <f t="shared" si="3"/>
        <v>549</v>
      </c>
      <c r="K41" t="str">
        <f t="shared" si="5"/>
        <v>Yes</v>
      </c>
      <c r="L41">
        <f t="shared" si="4"/>
        <v>27</v>
      </c>
      <c r="M41" s="1">
        <f t="shared" si="6"/>
        <v>45679</v>
      </c>
      <c r="N41">
        <f t="shared" si="9"/>
        <v>27</v>
      </c>
    </row>
    <row r="42" spans="1:14" x14ac:dyDescent="0.35">
      <c r="A42" s="1">
        <v>45664</v>
      </c>
      <c r="B42" t="s">
        <v>15</v>
      </c>
      <c r="C42">
        <v>48</v>
      </c>
      <c r="D42">
        <v>92</v>
      </c>
      <c r="E42">
        <v>10</v>
      </c>
      <c r="F42" t="s">
        <v>16</v>
      </c>
      <c r="G42">
        <v>180</v>
      </c>
      <c r="H42">
        <f t="shared" si="7"/>
        <v>96</v>
      </c>
      <c r="I42" s="2">
        <f t="shared" si="8"/>
        <v>576</v>
      </c>
      <c r="J42">
        <f t="shared" si="3"/>
        <v>484</v>
      </c>
      <c r="K42" t="str">
        <f t="shared" si="5"/>
        <v>Yes</v>
      </c>
      <c r="L42">
        <f t="shared" si="4"/>
        <v>44</v>
      </c>
      <c r="M42" s="1">
        <f t="shared" si="6"/>
        <v>45674</v>
      </c>
      <c r="N42">
        <f t="shared" si="9"/>
        <v>44</v>
      </c>
    </row>
    <row r="43" spans="1:14" x14ac:dyDescent="0.35">
      <c r="A43" s="1">
        <v>45664</v>
      </c>
      <c r="B43" t="s">
        <v>17</v>
      </c>
      <c r="C43">
        <v>29</v>
      </c>
      <c r="D43">
        <v>167</v>
      </c>
      <c r="E43">
        <v>7</v>
      </c>
      <c r="F43" t="s">
        <v>18</v>
      </c>
      <c r="G43">
        <v>100</v>
      </c>
      <c r="H43">
        <f t="shared" si="7"/>
        <v>58</v>
      </c>
      <c r="I43" s="2">
        <f t="shared" si="8"/>
        <v>261</v>
      </c>
      <c r="J43">
        <f t="shared" si="3"/>
        <v>94</v>
      </c>
      <c r="K43" t="str">
        <f t="shared" si="5"/>
        <v>Yes</v>
      </c>
      <c r="L43">
        <f t="shared" si="4"/>
        <v>138</v>
      </c>
      <c r="M43" s="1">
        <f t="shared" si="6"/>
        <v>45671</v>
      </c>
      <c r="N43">
        <f t="shared" si="9"/>
        <v>138</v>
      </c>
    </row>
    <row r="44" spans="1:14" x14ac:dyDescent="0.35">
      <c r="A44" s="1">
        <v>45665</v>
      </c>
      <c r="B44" t="s">
        <v>7</v>
      </c>
      <c r="C44">
        <v>84</v>
      </c>
      <c r="D44">
        <v>332</v>
      </c>
      <c r="E44">
        <v>12</v>
      </c>
      <c r="F44" t="s">
        <v>8</v>
      </c>
      <c r="G44">
        <v>320</v>
      </c>
      <c r="H44">
        <f t="shared" si="7"/>
        <v>168</v>
      </c>
      <c r="I44" s="2">
        <f t="shared" si="8"/>
        <v>1176</v>
      </c>
      <c r="J44">
        <f t="shared" si="3"/>
        <v>844</v>
      </c>
      <c r="K44" t="str">
        <f t="shared" si="5"/>
        <v>Yes</v>
      </c>
      <c r="L44">
        <f t="shared" si="4"/>
        <v>248</v>
      </c>
      <c r="M44" s="1">
        <f t="shared" si="6"/>
        <v>45677</v>
      </c>
      <c r="N44">
        <f t="shared" si="9"/>
        <v>248</v>
      </c>
    </row>
    <row r="45" spans="1:14" x14ac:dyDescent="0.35">
      <c r="A45" s="1">
        <v>45665</v>
      </c>
      <c r="B45" t="s">
        <v>9</v>
      </c>
      <c r="C45">
        <v>95</v>
      </c>
      <c r="D45">
        <v>327</v>
      </c>
      <c r="E45">
        <v>8</v>
      </c>
      <c r="F45" t="s">
        <v>10</v>
      </c>
      <c r="G45">
        <v>120</v>
      </c>
      <c r="H45">
        <f t="shared" si="7"/>
        <v>190</v>
      </c>
      <c r="I45" s="2">
        <f t="shared" si="8"/>
        <v>950</v>
      </c>
      <c r="J45">
        <f t="shared" si="3"/>
        <v>623</v>
      </c>
      <c r="K45" t="str">
        <f t="shared" si="5"/>
        <v>Yes</v>
      </c>
      <c r="L45">
        <f t="shared" si="4"/>
        <v>232</v>
      </c>
      <c r="M45" s="1">
        <f t="shared" si="6"/>
        <v>45673</v>
      </c>
      <c r="N45">
        <f t="shared" si="9"/>
        <v>232</v>
      </c>
    </row>
    <row r="46" spans="1:14" x14ac:dyDescent="0.35">
      <c r="A46" s="1">
        <v>45665</v>
      </c>
      <c r="B46" t="s">
        <v>11</v>
      </c>
      <c r="C46">
        <v>114</v>
      </c>
      <c r="D46">
        <v>681</v>
      </c>
      <c r="E46">
        <v>10</v>
      </c>
      <c r="F46" t="s">
        <v>12</v>
      </c>
      <c r="G46">
        <v>65</v>
      </c>
      <c r="H46">
        <f t="shared" si="7"/>
        <v>228</v>
      </c>
      <c r="I46" s="2">
        <f t="shared" si="8"/>
        <v>1368</v>
      </c>
      <c r="J46">
        <f t="shared" si="3"/>
        <v>687</v>
      </c>
      <c r="K46" t="str">
        <f t="shared" si="5"/>
        <v>Yes</v>
      </c>
      <c r="L46">
        <f t="shared" si="4"/>
        <v>567</v>
      </c>
      <c r="M46" s="1">
        <f t="shared" si="6"/>
        <v>45675</v>
      </c>
      <c r="N46">
        <f t="shared" si="9"/>
        <v>567</v>
      </c>
    </row>
    <row r="47" spans="1:14" x14ac:dyDescent="0.35">
      <c r="A47" s="1">
        <v>45665</v>
      </c>
      <c r="B47" t="s">
        <v>13</v>
      </c>
      <c r="C47">
        <v>38</v>
      </c>
      <c r="D47">
        <v>27</v>
      </c>
      <c r="E47">
        <v>15</v>
      </c>
      <c r="F47" t="s">
        <v>14</v>
      </c>
      <c r="G47">
        <v>450</v>
      </c>
      <c r="H47">
        <f t="shared" si="7"/>
        <v>76</v>
      </c>
      <c r="I47" s="2">
        <f t="shared" si="8"/>
        <v>646</v>
      </c>
      <c r="J47">
        <f t="shared" si="3"/>
        <v>619</v>
      </c>
      <c r="K47" t="str">
        <f t="shared" si="5"/>
        <v>Yes</v>
      </c>
      <c r="L47">
        <f t="shared" si="4"/>
        <v>-11</v>
      </c>
      <c r="M47" s="1">
        <f t="shared" si="6"/>
        <v>45680</v>
      </c>
      <c r="N47">
        <f t="shared" si="9"/>
        <v>-11</v>
      </c>
    </row>
    <row r="48" spans="1:14" x14ac:dyDescent="0.35">
      <c r="A48" s="1">
        <v>45665</v>
      </c>
      <c r="B48" t="s">
        <v>15</v>
      </c>
      <c r="C48">
        <v>51</v>
      </c>
      <c r="D48">
        <v>44</v>
      </c>
      <c r="E48">
        <v>10</v>
      </c>
      <c r="F48" t="s">
        <v>16</v>
      </c>
      <c r="G48">
        <v>180</v>
      </c>
      <c r="H48">
        <f t="shared" si="7"/>
        <v>102</v>
      </c>
      <c r="I48" s="2">
        <f t="shared" si="8"/>
        <v>612</v>
      </c>
      <c r="J48">
        <f t="shared" si="3"/>
        <v>568</v>
      </c>
      <c r="K48" t="str">
        <f t="shared" si="5"/>
        <v>Yes</v>
      </c>
      <c r="L48">
        <f t="shared" si="4"/>
        <v>-7</v>
      </c>
      <c r="M48" s="1">
        <f t="shared" si="6"/>
        <v>45675</v>
      </c>
      <c r="N48">
        <f t="shared" si="9"/>
        <v>-7</v>
      </c>
    </row>
    <row r="49" spans="1:14" x14ac:dyDescent="0.35">
      <c r="A49" s="1">
        <v>45665</v>
      </c>
      <c r="B49" t="s">
        <v>17</v>
      </c>
      <c r="C49">
        <v>30</v>
      </c>
      <c r="D49">
        <v>138</v>
      </c>
      <c r="E49">
        <v>7</v>
      </c>
      <c r="F49" t="s">
        <v>18</v>
      </c>
      <c r="G49">
        <v>100</v>
      </c>
      <c r="H49">
        <f t="shared" si="7"/>
        <v>60</v>
      </c>
      <c r="I49" s="2">
        <f t="shared" si="8"/>
        <v>270</v>
      </c>
      <c r="J49">
        <f t="shared" si="3"/>
        <v>132</v>
      </c>
      <c r="K49" t="str">
        <f t="shared" si="5"/>
        <v>Yes</v>
      </c>
      <c r="L49">
        <f t="shared" si="4"/>
        <v>108</v>
      </c>
      <c r="M49" s="1">
        <f t="shared" si="6"/>
        <v>45672</v>
      </c>
      <c r="N49">
        <f t="shared" si="9"/>
        <v>108</v>
      </c>
    </row>
    <row r="50" spans="1:14" x14ac:dyDescent="0.35">
      <c r="A50" s="1">
        <v>45666</v>
      </c>
      <c r="B50" t="s">
        <v>7</v>
      </c>
      <c r="C50">
        <v>80</v>
      </c>
      <c r="D50">
        <v>248</v>
      </c>
      <c r="E50">
        <v>12</v>
      </c>
      <c r="F50" t="s">
        <v>8</v>
      </c>
      <c r="G50">
        <v>320</v>
      </c>
      <c r="H50">
        <f t="shared" si="7"/>
        <v>160</v>
      </c>
      <c r="I50" s="2">
        <f t="shared" si="8"/>
        <v>1120</v>
      </c>
      <c r="J50">
        <f t="shared" si="3"/>
        <v>872</v>
      </c>
      <c r="K50" t="str">
        <f t="shared" si="5"/>
        <v>Yes</v>
      </c>
      <c r="L50">
        <f t="shared" si="4"/>
        <v>168</v>
      </c>
      <c r="M50" s="1">
        <f t="shared" si="6"/>
        <v>45678</v>
      </c>
      <c r="N50">
        <f t="shared" si="9"/>
        <v>168</v>
      </c>
    </row>
    <row r="51" spans="1:14" x14ac:dyDescent="0.35">
      <c r="A51" s="1">
        <v>45666</v>
      </c>
      <c r="B51" t="s">
        <v>9</v>
      </c>
      <c r="C51">
        <v>99</v>
      </c>
      <c r="D51">
        <v>232</v>
      </c>
      <c r="E51">
        <v>8</v>
      </c>
      <c r="F51" t="s">
        <v>10</v>
      </c>
      <c r="G51">
        <v>120</v>
      </c>
      <c r="H51">
        <f t="shared" si="7"/>
        <v>198</v>
      </c>
      <c r="I51" s="2">
        <f t="shared" si="8"/>
        <v>990</v>
      </c>
      <c r="J51">
        <f t="shared" si="3"/>
        <v>758</v>
      </c>
      <c r="K51" t="str">
        <f t="shared" si="5"/>
        <v>Yes</v>
      </c>
      <c r="L51">
        <f t="shared" si="4"/>
        <v>133</v>
      </c>
      <c r="M51" s="1">
        <f t="shared" si="6"/>
        <v>45674</v>
      </c>
      <c r="N51">
        <f t="shared" si="9"/>
        <v>133</v>
      </c>
    </row>
    <row r="52" spans="1:14" x14ac:dyDescent="0.35">
      <c r="A52" s="1">
        <v>45666</v>
      </c>
      <c r="B52" t="s">
        <v>11</v>
      </c>
      <c r="C52">
        <v>120</v>
      </c>
      <c r="D52">
        <v>567</v>
      </c>
      <c r="E52">
        <v>10</v>
      </c>
      <c r="F52" t="s">
        <v>12</v>
      </c>
      <c r="G52">
        <v>65</v>
      </c>
      <c r="H52">
        <f t="shared" si="7"/>
        <v>240</v>
      </c>
      <c r="I52" s="2">
        <f t="shared" si="8"/>
        <v>1440</v>
      </c>
      <c r="J52">
        <f t="shared" si="3"/>
        <v>873</v>
      </c>
      <c r="K52" t="str">
        <f t="shared" si="5"/>
        <v>Yes</v>
      </c>
      <c r="L52">
        <f t="shared" si="4"/>
        <v>447</v>
      </c>
      <c r="M52" s="1">
        <f t="shared" si="6"/>
        <v>45676</v>
      </c>
      <c r="N52">
        <f t="shared" si="9"/>
        <v>447</v>
      </c>
    </row>
    <row r="53" spans="1:14" x14ac:dyDescent="0.35">
      <c r="A53" s="1">
        <v>45666</v>
      </c>
      <c r="B53" t="s">
        <v>13</v>
      </c>
      <c r="C53">
        <v>40</v>
      </c>
      <c r="D53">
        <v>0</v>
      </c>
      <c r="E53">
        <v>15</v>
      </c>
      <c r="F53" t="s">
        <v>14</v>
      </c>
      <c r="G53">
        <v>450</v>
      </c>
      <c r="H53">
        <f t="shared" si="7"/>
        <v>80</v>
      </c>
      <c r="I53" s="2">
        <f t="shared" si="8"/>
        <v>680</v>
      </c>
      <c r="J53">
        <f t="shared" si="3"/>
        <v>680</v>
      </c>
      <c r="K53" t="str">
        <f t="shared" si="5"/>
        <v>Yes</v>
      </c>
      <c r="L53">
        <f t="shared" si="4"/>
        <v>-40</v>
      </c>
      <c r="M53" s="1">
        <f t="shared" si="6"/>
        <v>45681</v>
      </c>
      <c r="N53">
        <f t="shared" si="9"/>
        <v>-40</v>
      </c>
    </row>
    <row r="54" spans="1:14" x14ac:dyDescent="0.35">
      <c r="A54" s="1">
        <v>45666</v>
      </c>
      <c r="B54" t="s">
        <v>15</v>
      </c>
      <c r="C54">
        <v>53</v>
      </c>
      <c r="D54">
        <v>0</v>
      </c>
      <c r="E54">
        <v>10</v>
      </c>
      <c r="F54" t="s">
        <v>16</v>
      </c>
      <c r="G54">
        <v>180</v>
      </c>
      <c r="H54">
        <f t="shared" si="7"/>
        <v>106</v>
      </c>
      <c r="I54" s="2">
        <f t="shared" si="8"/>
        <v>636</v>
      </c>
      <c r="J54">
        <f t="shared" si="3"/>
        <v>636</v>
      </c>
      <c r="K54" t="str">
        <f t="shared" si="5"/>
        <v>Yes</v>
      </c>
      <c r="L54">
        <f t="shared" si="4"/>
        <v>-53</v>
      </c>
      <c r="M54" s="1">
        <f t="shared" si="6"/>
        <v>45676</v>
      </c>
      <c r="N54">
        <f t="shared" si="9"/>
        <v>-53</v>
      </c>
    </row>
    <row r="55" spans="1:14" x14ac:dyDescent="0.35">
      <c r="A55" s="1">
        <v>45666</v>
      </c>
      <c r="B55" t="s">
        <v>17</v>
      </c>
      <c r="C55">
        <v>28</v>
      </c>
      <c r="D55">
        <v>108</v>
      </c>
      <c r="E55">
        <v>7</v>
      </c>
      <c r="F55" t="s">
        <v>18</v>
      </c>
      <c r="G55">
        <v>100</v>
      </c>
      <c r="H55">
        <f t="shared" si="7"/>
        <v>56</v>
      </c>
      <c r="I55" s="2">
        <f t="shared" si="8"/>
        <v>252</v>
      </c>
      <c r="J55">
        <f t="shared" si="3"/>
        <v>144</v>
      </c>
      <c r="K55" t="str">
        <f t="shared" si="5"/>
        <v>Yes</v>
      </c>
      <c r="L55">
        <f t="shared" si="4"/>
        <v>80</v>
      </c>
      <c r="M55" s="1">
        <f t="shared" si="6"/>
        <v>45673</v>
      </c>
      <c r="N55">
        <f t="shared" si="9"/>
        <v>80</v>
      </c>
    </row>
    <row r="56" spans="1:14" x14ac:dyDescent="0.35">
      <c r="A56" s="1">
        <v>45667</v>
      </c>
      <c r="B56" t="s">
        <v>7</v>
      </c>
      <c r="C56">
        <v>83</v>
      </c>
      <c r="D56">
        <v>168</v>
      </c>
      <c r="E56">
        <v>12</v>
      </c>
      <c r="F56" t="s">
        <v>8</v>
      </c>
      <c r="G56">
        <v>320</v>
      </c>
      <c r="H56">
        <f t="shared" si="7"/>
        <v>166</v>
      </c>
      <c r="I56" s="2">
        <f t="shared" si="8"/>
        <v>1162</v>
      </c>
      <c r="J56">
        <f t="shared" si="3"/>
        <v>994</v>
      </c>
      <c r="K56" t="str">
        <f t="shared" si="5"/>
        <v>Yes</v>
      </c>
      <c r="L56">
        <f t="shared" si="4"/>
        <v>85</v>
      </c>
      <c r="M56" s="1">
        <f t="shared" si="6"/>
        <v>45679</v>
      </c>
      <c r="N56">
        <f t="shared" si="9"/>
        <v>85</v>
      </c>
    </row>
    <row r="57" spans="1:14" x14ac:dyDescent="0.35">
      <c r="A57" s="1">
        <v>45667</v>
      </c>
      <c r="B57" t="s">
        <v>9</v>
      </c>
      <c r="C57">
        <v>96</v>
      </c>
      <c r="D57">
        <v>133</v>
      </c>
      <c r="E57">
        <v>8</v>
      </c>
      <c r="F57" t="s">
        <v>10</v>
      </c>
      <c r="G57">
        <v>120</v>
      </c>
      <c r="H57">
        <f t="shared" si="7"/>
        <v>192</v>
      </c>
      <c r="I57" s="2">
        <f t="shared" si="8"/>
        <v>960</v>
      </c>
      <c r="J57">
        <f t="shared" si="3"/>
        <v>827</v>
      </c>
      <c r="K57" t="str">
        <f t="shared" si="5"/>
        <v>Yes</v>
      </c>
      <c r="L57">
        <f t="shared" si="4"/>
        <v>37</v>
      </c>
      <c r="M57" s="1">
        <f t="shared" si="6"/>
        <v>45675</v>
      </c>
      <c r="N57">
        <f t="shared" si="9"/>
        <v>37</v>
      </c>
    </row>
    <row r="58" spans="1:14" x14ac:dyDescent="0.35">
      <c r="A58" s="1">
        <v>45667</v>
      </c>
      <c r="B58" t="s">
        <v>11</v>
      </c>
      <c r="C58">
        <v>118</v>
      </c>
      <c r="D58">
        <v>447</v>
      </c>
      <c r="E58">
        <v>10</v>
      </c>
      <c r="F58" t="s">
        <v>12</v>
      </c>
      <c r="G58">
        <v>65</v>
      </c>
      <c r="H58">
        <f t="shared" si="7"/>
        <v>236</v>
      </c>
      <c r="I58" s="2">
        <f t="shared" si="8"/>
        <v>1416</v>
      </c>
      <c r="J58">
        <f t="shared" si="3"/>
        <v>969</v>
      </c>
      <c r="K58" t="str">
        <f t="shared" si="5"/>
        <v>Yes</v>
      </c>
      <c r="L58">
        <f t="shared" si="4"/>
        <v>329</v>
      </c>
      <c r="M58" s="1">
        <f t="shared" si="6"/>
        <v>45677</v>
      </c>
      <c r="N58">
        <f t="shared" si="9"/>
        <v>329</v>
      </c>
    </row>
    <row r="59" spans="1:14" x14ac:dyDescent="0.35">
      <c r="A59" s="1">
        <v>45667</v>
      </c>
      <c r="B59" t="s">
        <v>13</v>
      </c>
      <c r="C59">
        <v>39</v>
      </c>
      <c r="D59">
        <v>0</v>
      </c>
      <c r="E59">
        <v>15</v>
      </c>
      <c r="F59" t="s">
        <v>14</v>
      </c>
      <c r="G59">
        <v>450</v>
      </c>
      <c r="H59">
        <f t="shared" si="7"/>
        <v>78</v>
      </c>
      <c r="I59" s="2">
        <f t="shared" si="8"/>
        <v>663</v>
      </c>
      <c r="J59">
        <f t="shared" si="3"/>
        <v>663</v>
      </c>
      <c r="K59" t="str">
        <f t="shared" si="5"/>
        <v>Yes</v>
      </c>
      <c r="L59">
        <f t="shared" si="4"/>
        <v>-39</v>
      </c>
      <c r="M59" s="1">
        <f t="shared" si="6"/>
        <v>45682</v>
      </c>
      <c r="N59">
        <f t="shared" si="9"/>
        <v>-39</v>
      </c>
    </row>
    <row r="60" spans="1:14" x14ac:dyDescent="0.35">
      <c r="A60" s="1">
        <v>45667</v>
      </c>
      <c r="B60" t="s">
        <v>15</v>
      </c>
      <c r="C60">
        <v>50</v>
      </c>
      <c r="D60">
        <v>0</v>
      </c>
      <c r="E60">
        <v>10</v>
      </c>
      <c r="F60" t="s">
        <v>16</v>
      </c>
      <c r="G60">
        <v>180</v>
      </c>
      <c r="H60">
        <f t="shared" si="7"/>
        <v>100</v>
      </c>
      <c r="I60" s="2">
        <f t="shared" si="8"/>
        <v>600</v>
      </c>
      <c r="J60">
        <f t="shared" si="3"/>
        <v>600</v>
      </c>
      <c r="K60" t="str">
        <f t="shared" si="5"/>
        <v>Yes</v>
      </c>
      <c r="L60">
        <f t="shared" si="4"/>
        <v>-50</v>
      </c>
      <c r="M60" s="1">
        <f t="shared" si="6"/>
        <v>45677</v>
      </c>
      <c r="N60">
        <f t="shared" si="9"/>
        <v>-50</v>
      </c>
    </row>
    <row r="61" spans="1:14" x14ac:dyDescent="0.35">
      <c r="A61" s="1">
        <v>45667</v>
      </c>
      <c r="B61" t="s">
        <v>17</v>
      </c>
      <c r="C61">
        <v>31</v>
      </c>
      <c r="D61">
        <v>80</v>
      </c>
      <c r="E61">
        <v>7</v>
      </c>
      <c r="F61" t="s">
        <v>18</v>
      </c>
      <c r="G61">
        <v>100</v>
      </c>
      <c r="H61">
        <f t="shared" si="7"/>
        <v>62</v>
      </c>
      <c r="I61" s="2">
        <f t="shared" si="8"/>
        <v>279</v>
      </c>
      <c r="J61">
        <f t="shared" si="3"/>
        <v>199</v>
      </c>
      <c r="K61" t="str">
        <f t="shared" si="5"/>
        <v>Yes</v>
      </c>
      <c r="L61">
        <f t="shared" si="4"/>
        <v>49</v>
      </c>
      <c r="M61" s="1">
        <f t="shared" si="6"/>
        <v>45674</v>
      </c>
      <c r="N61">
        <f t="shared" si="9"/>
        <v>49</v>
      </c>
    </row>
    <row r="62" spans="1:14" x14ac:dyDescent="0.35">
      <c r="A62" s="1">
        <v>45668</v>
      </c>
      <c r="B62" t="s">
        <v>7</v>
      </c>
      <c r="C62">
        <v>79</v>
      </c>
      <c r="D62">
        <v>85</v>
      </c>
      <c r="E62">
        <v>12</v>
      </c>
      <c r="F62" t="s">
        <v>8</v>
      </c>
      <c r="G62">
        <v>320</v>
      </c>
      <c r="H62">
        <f t="shared" si="7"/>
        <v>158</v>
      </c>
      <c r="I62" s="2">
        <f t="shared" si="8"/>
        <v>1106</v>
      </c>
      <c r="J62">
        <f t="shared" si="3"/>
        <v>1021</v>
      </c>
      <c r="K62" t="str">
        <f t="shared" si="5"/>
        <v>Yes</v>
      </c>
      <c r="L62">
        <f t="shared" si="4"/>
        <v>6</v>
      </c>
      <c r="M62" s="1">
        <f t="shared" si="6"/>
        <v>45680</v>
      </c>
      <c r="N62">
        <f t="shared" si="9"/>
        <v>6</v>
      </c>
    </row>
    <row r="63" spans="1:14" x14ac:dyDescent="0.35">
      <c r="A63" s="1">
        <v>45668</v>
      </c>
      <c r="B63" t="s">
        <v>9</v>
      </c>
      <c r="C63">
        <v>94</v>
      </c>
      <c r="D63">
        <v>37</v>
      </c>
      <c r="E63">
        <v>8</v>
      </c>
      <c r="F63" t="s">
        <v>10</v>
      </c>
      <c r="G63">
        <v>120</v>
      </c>
      <c r="H63">
        <f t="shared" si="7"/>
        <v>188</v>
      </c>
      <c r="I63" s="2">
        <f t="shared" si="8"/>
        <v>940</v>
      </c>
      <c r="J63">
        <f t="shared" si="3"/>
        <v>903</v>
      </c>
      <c r="K63" t="str">
        <f t="shared" si="5"/>
        <v>Yes</v>
      </c>
      <c r="L63">
        <f t="shared" si="4"/>
        <v>-57</v>
      </c>
      <c r="M63" s="1">
        <f t="shared" si="6"/>
        <v>45676</v>
      </c>
      <c r="N63">
        <f t="shared" si="9"/>
        <v>-57</v>
      </c>
    </row>
    <row r="64" spans="1:14" x14ac:dyDescent="0.35">
      <c r="A64" s="1">
        <v>45668</v>
      </c>
      <c r="B64" t="s">
        <v>11</v>
      </c>
      <c r="C64">
        <v>115</v>
      </c>
      <c r="D64">
        <v>329</v>
      </c>
      <c r="E64">
        <v>10</v>
      </c>
      <c r="F64" t="s">
        <v>12</v>
      </c>
      <c r="G64">
        <v>65</v>
      </c>
      <c r="H64">
        <f t="shared" si="7"/>
        <v>230</v>
      </c>
      <c r="I64" s="2">
        <f t="shared" si="8"/>
        <v>1380</v>
      </c>
      <c r="J64">
        <f t="shared" si="3"/>
        <v>1051</v>
      </c>
      <c r="K64" t="str">
        <f t="shared" si="5"/>
        <v>Yes</v>
      </c>
      <c r="L64">
        <f t="shared" si="4"/>
        <v>214</v>
      </c>
      <c r="M64" s="1">
        <f t="shared" si="6"/>
        <v>45678</v>
      </c>
      <c r="N64">
        <f t="shared" si="9"/>
        <v>214</v>
      </c>
    </row>
    <row r="65" spans="1:14" x14ac:dyDescent="0.35">
      <c r="A65" s="1">
        <v>45668</v>
      </c>
      <c r="B65" t="s">
        <v>13</v>
      </c>
      <c r="C65">
        <v>37</v>
      </c>
      <c r="D65">
        <v>0</v>
      </c>
      <c r="E65">
        <v>15</v>
      </c>
      <c r="F65" t="s">
        <v>14</v>
      </c>
      <c r="G65">
        <v>450</v>
      </c>
      <c r="H65">
        <f t="shared" si="7"/>
        <v>74</v>
      </c>
      <c r="I65" s="2">
        <f t="shared" si="8"/>
        <v>629</v>
      </c>
      <c r="J65">
        <f t="shared" si="3"/>
        <v>629</v>
      </c>
      <c r="K65" t="str">
        <f t="shared" si="5"/>
        <v>Yes</v>
      </c>
      <c r="L65">
        <f t="shared" si="4"/>
        <v>-37</v>
      </c>
      <c r="M65" s="1">
        <f t="shared" si="6"/>
        <v>45683</v>
      </c>
      <c r="N65">
        <f t="shared" si="9"/>
        <v>-37</v>
      </c>
    </row>
    <row r="66" spans="1:14" x14ac:dyDescent="0.35">
      <c r="A66" s="1">
        <v>45668</v>
      </c>
      <c r="B66" t="s">
        <v>15</v>
      </c>
      <c r="C66">
        <v>48</v>
      </c>
      <c r="D66">
        <v>0</v>
      </c>
      <c r="E66">
        <v>10</v>
      </c>
      <c r="F66" t="s">
        <v>16</v>
      </c>
      <c r="G66">
        <v>180</v>
      </c>
      <c r="H66">
        <f t="shared" ref="H66:H97" si="10">C66*2</f>
        <v>96</v>
      </c>
      <c r="I66" s="2">
        <f t="shared" ref="I66:I97" si="11">(C66*E66)+H66</f>
        <v>576</v>
      </c>
      <c r="J66">
        <f t="shared" si="3"/>
        <v>576</v>
      </c>
      <c r="K66" t="str">
        <f t="shared" si="5"/>
        <v>Yes</v>
      </c>
      <c r="L66">
        <f t="shared" si="4"/>
        <v>-48</v>
      </c>
      <c r="M66" s="1">
        <f t="shared" si="6"/>
        <v>45678</v>
      </c>
      <c r="N66">
        <f t="shared" ref="N66:N97" si="12">L66 + IF(A66=M66,J66,0)</f>
        <v>-48</v>
      </c>
    </row>
    <row r="67" spans="1:14" x14ac:dyDescent="0.35">
      <c r="A67" s="1">
        <v>45668</v>
      </c>
      <c r="B67" t="s">
        <v>17</v>
      </c>
      <c r="C67">
        <v>29</v>
      </c>
      <c r="D67">
        <v>49</v>
      </c>
      <c r="E67">
        <v>7</v>
      </c>
      <c r="F67" t="s">
        <v>18</v>
      </c>
      <c r="G67">
        <v>100</v>
      </c>
      <c r="H67">
        <f t="shared" si="10"/>
        <v>58</v>
      </c>
      <c r="I67" s="2">
        <f t="shared" si="11"/>
        <v>261</v>
      </c>
      <c r="J67">
        <f t="shared" ref="J67:J103" si="13">MAX(I67-D67,0)</f>
        <v>212</v>
      </c>
      <c r="K67" t="str">
        <f t="shared" ref="K67:K103" si="14">IF(D67&lt;=I67,"Yes","No")</f>
        <v>Yes</v>
      </c>
      <c r="L67">
        <f t="shared" ref="L67:L103" si="15">D67-C67</f>
        <v>20</v>
      </c>
      <c r="M67" s="1">
        <f t="shared" ref="M67:M103" si="16">IF(K67="Yes", A67 + E67, "")</f>
        <v>45675</v>
      </c>
      <c r="N67">
        <f t="shared" si="12"/>
        <v>20</v>
      </c>
    </row>
    <row r="68" spans="1:14" x14ac:dyDescent="0.35">
      <c r="A68" s="1">
        <v>45669</v>
      </c>
      <c r="B68" t="s">
        <v>7</v>
      </c>
      <c r="C68">
        <v>82</v>
      </c>
      <c r="D68">
        <v>6</v>
      </c>
      <c r="E68">
        <v>12</v>
      </c>
      <c r="F68" t="s">
        <v>8</v>
      </c>
      <c r="G68">
        <v>320</v>
      </c>
      <c r="H68">
        <f t="shared" si="10"/>
        <v>164</v>
      </c>
      <c r="I68" s="2">
        <f t="shared" si="11"/>
        <v>1148</v>
      </c>
      <c r="J68">
        <f t="shared" si="13"/>
        <v>1142</v>
      </c>
      <c r="K68" t="str">
        <f t="shared" si="14"/>
        <v>Yes</v>
      </c>
      <c r="L68">
        <f t="shared" si="15"/>
        <v>-76</v>
      </c>
      <c r="M68" s="1">
        <f t="shared" si="16"/>
        <v>45681</v>
      </c>
      <c r="N68">
        <f t="shared" si="12"/>
        <v>-76</v>
      </c>
    </row>
    <row r="69" spans="1:14" x14ac:dyDescent="0.35">
      <c r="A69" s="1">
        <v>45669</v>
      </c>
      <c r="B69" t="s">
        <v>9</v>
      </c>
      <c r="C69">
        <v>97</v>
      </c>
      <c r="D69">
        <v>0</v>
      </c>
      <c r="E69">
        <v>8</v>
      </c>
      <c r="F69" t="s">
        <v>10</v>
      </c>
      <c r="G69">
        <v>120</v>
      </c>
      <c r="H69">
        <f t="shared" si="10"/>
        <v>194</v>
      </c>
      <c r="I69" s="2">
        <f t="shared" si="11"/>
        <v>970</v>
      </c>
      <c r="J69">
        <f t="shared" si="13"/>
        <v>970</v>
      </c>
      <c r="K69" t="str">
        <f t="shared" si="14"/>
        <v>Yes</v>
      </c>
      <c r="L69">
        <f t="shared" si="15"/>
        <v>-97</v>
      </c>
      <c r="M69" s="1">
        <f t="shared" si="16"/>
        <v>45677</v>
      </c>
      <c r="N69">
        <f t="shared" si="12"/>
        <v>-97</v>
      </c>
    </row>
    <row r="70" spans="1:14" x14ac:dyDescent="0.35">
      <c r="A70" s="1">
        <v>45669</v>
      </c>
      <c r="B70" t="s">
        <v>11</v>
      </c>
      <c r="C70">
        <v>120</v>
      </c>
      <c r="D70">
        <v>214</v>
      </c>
      <c r="E70">
        <v>10</v>
      </c>
      <c r="F70" t="s">
        <v>12</v>
      </c>
      <c r="G70">
        <v>65</v>
      </c>
      <c r="H70">
        <f t="shared" si="10"/>
        <v>240</v>
      </c>
      <c r="I70" s="2">
        <f t="shared" si="11"/>
        <v>1440</v>
      </c>
      <c r="J70">
        <f t="shared" si="13"/>
        <v>1226</v>
      </c>
      <c r="K70" t="str">
        <f t="shared" si="14"/>
        <v>Yes</v>
      </c>
      <c r="L70">
        <f t="shared" si="15"/>
        <v>94</v>
      </c>
      <c r="M70" s="1">
        <f t="shared" si="16"/>
        <v>45679</v>
      </c>
      <c r="N70">
        <f t="shared" si="12"/>
        <v>94</v>
      </c>
    </row>
    <row r="71" spans="1:14" x14ac:dyDescent="0.35">
      <c r="A71" s="1">
        <v>45669</v>
      </c>
      <c r="B71" t="s">
        <v>13</v>
      </c>
      <c r="C71">
        <v>41</v>
      </c>
      <c r="D71">
        <v>0</v>
      </c>
      <c r="E71">
        <v>15</v>
      </c>
      <c r="F71" t="s">
        <v>14</v>
      </c>
      <c r="G71">
        <v>450</v>
      </c>
      <c r="H71">
        <f t="shared" si="10"/>
        <v>82</v>
      </c>
      <c r="I71" s="2">
        <f t="shared" si="11"/>
        <v>697</v>
      </c>
      <c r="J71">
        <f t="shared" si="13"/>
        <v>697</v>
      </c>
      <c r="K71" t="str">
        <f t="shared" si="14"/>
        <v>Yes</v>
      </c>
      <c r="L71">
        <f t="shared" si="15"/>
        <v>-41</v>
      </c>
      <c r="M71" s="1">
        <f t="shared" si="16"/>
        <v>45684</v>
      </c>
      <c r="N71">
        <f t="shared" si="12"/>
        <v>-41</v>
      </c>
    </row>
    <row r="72" spans="1:14" x14ac:dyDescent="0.35">
      <c r="A72" s="1">
        <v>45669</v>
      </c>
      <c r="B72" t="s">
        <v>15</v>
      </c>
      <c r="C72">
        <v>52</v>
      </c>
      <c r="D72">
        <v>0</v>
      </c>
      <c r="E72">
        <v>10</v>
      </c>
      <c r="F72" t="s">
        <v>16</v>
      </c>
      <c r="G72">
        <v>180</v>
      </c>
      <c r="H72">
        <f t="shared" si="10"/>
        <v>104</v>
      </c>
      <c r="I72" s="2">
        <f t="shared" si="11"/>
        <v>624</v>
      </c>
      <c r="J72">
        <f t="shared" si="13"/>
        <v>624</v>
      </c>
      <c r="K72" t="str">
        <f t="shared" si="14"/>
        <v>Yes</v>
      </c>
      <c r="L72">
        <f t="shared" si="15"/>
        <v>-52</v>
      </c>
      <c r="M72" s="1">
        <f t="shared" si="16"/>
        <v>45679</v>
      </c>
      <c r="N72">
        <f t="shared" si="12"/>
        <v>-52</v>
      </c>
    </row>
    <row r="73" spans="1:14" x14ac:dyDescent="0.35">
      <c r="A73" s="1">
        <v>45669</v>
      </c>
      <c r="B73" t="s">
        <v>17</v>
      </c>
      <c r="C73">
        <v>32</v>
      </c>
      <c r="D73">
        <v>20</v>
      </c>
      <c r="E73">
        <v>7</v>
      </c>
      <c r="F73" t="s">
        <v>18</v>
      </c>
      <c r="G73">
        <v>100</v>
      </c>
      <c r="H73">
        <f t="shared" si="10"/>
        <v>64</v>
      </c>
      <c r="I73" s="2">
        <f t="shared" si="11"/>
        <v>288</v>
      </c>
      <c r="J73">
        <f t="shared" si="13"/>
        <v>268</v>
      </c>
      <c r="K73" t="str">
        <f t="shared" si="14"/>
        <v>Yes</v>
      </c>
      <c r="L73">
        <f t="shared" si="15"/>
        <v>-12</v>
      </c>
      <c r="M73" s="1">
        <f t="shared" si="16"/>
        <v>45676</v>
      </c>
      <c r="N73">
        <f t="shared" si="12"/>
        <v>-12</v>
      </c>
    </row>
    <row r="74" spans="1:14" x14ac:dyDescent="0.35">
      <c r="A74" s="1">
        <v>45670</v>
      </c>
      <c r="B74" t="s">
        <v>7</v>
      </c>
      <c r="C74">
        <v>80</v>
      </c>
      <c r="D74">
        <v>0</v>
      </c>
      <c r="E74">
        <v>12</v>
      </c>
      <c r="F74" t="s">
        <v>8</v>
      </c>
      <c r="G74">
        <v>320</v>
      </c>
      <c r="H74">
        <f t="shared" si="10"/>
        <v>160</v>
      </c>
      <c r="I74" s="2">
        <f t="shared" si="11"/>
        <v>1120</v>
      </c>
      <c r="J74">
        <f t="shared" si="13"/>
        <v>1120</v>
      </c>
      <c r="K74" t="str">
        <f t="shared" si="14"/>
        <v>Yes</v>
      </c>
      <c r="L74">
        <f t="shared" si="15"/>
        <v>-80</v>
      </c>
      <c r="M74" s="1">
        <f t="shared" si="16"/>
        <v>45682</v>
      </c>
      <c r="N74">
        <f t="shared" si="12"/>
        <v>-80</v>
      </c>
    </row>
    <row r="75" spans="1:14" x14ac:dyDescent="0.35">
      <c r="A75" s="1">
        <v>45670</v>
      </c>
      <c r="B75" t="s">
        <v>9</v>
      </c>
      <c r="C75">
        <v>95</v>
      </c>
      <c r="D75">
        <v>0</v>
      </c>
      <c r="E75">
        <v>8</v>
      </c>
      <c r="F75" t="s">
        <v>10</v>
      </c>
      <c r="G75">
        <v>120</v>
      </c>
      <c r="H75">
        <f t="shared" si="10"/>
        <v>190</v>
      </c>
      <c r="I75" s="2">
        <f t="shared" si="11"/>
        <v>950</v>
      </c>
      <c r="J75">
        <f t="shared" si="13"/>
        <v>950</v>
      </c>
      <c r="K75" t="str">
        <f t="shared" si="14"/>
        <v>Yes</v>
      </c>
      <c r="L75">
        <f t="shared" si="15"/>
        <v>-95</v>
      </c>
      <c r="M75" s="1">
        <f t="shared" si="16"/>
        <v>45678</v>
      </c>
      <c r="N75">
        <f t="shared" si="12"/>
        <v>-95</v>
      </c>
    </row>
    <row r="76" spans="1:14" x14ac:dyDescent="0.35">
      <c r="A76" s="1">
        <v>45670</v>
      </c>
      <c r="B76" t="s">
        <v>11</v>
      </c>
      <c r="C76">
        <v>118</v>
      </c>
      <c r="D76">
        <v>96</v>
      </c>
      <c r="E76">
        <v>10</v>
      </c>
      <c r="F76" t="s">
        <v>12</v>
      </c>
      <c r="G76">
        <v>65</v>
      </c>
      <c r="H76">
        <f t="shared" si="10"/>
        <v>236</v>
      </c>
      <c r="I76" s="2">
        <f t="shared" si="11"/>
        <v>1416</v>
      </c>
      <c r="J76">
        <f t="shared" si="13"/>
        <v>1320</v>
      </c>
      <c r="K76" t="str">
        <f t="shared" si="14"/>
        <v>Yes</v>
      </c>
      <c r="L76">
        <f t="shared" si="15"/>
        <v>-22</v>
      </c>
      <c r="M76" s="1">
        <f t="shared" si="16"/>
        <v>45680</v>
      </c>
      <c r="N76">
        <f t="shared" si="12"/>
        <v>-22</v>
      </c>
    </row>
    <row r="77" spans="1:14" x14ac:dyDescent="0.35">
      <c r="A77" s="1">
        <v>45670</v>
      </c>
      <c r="B77" t="s">
        <v>13</v>
      </c>
      <c r="C77">
        <v>38</v>
      </c>
      <c r="D77">
        <v>0</v>
      </c>
      <c r="E77">
        <v>15</v>
      </c>
      <c r="F77" t="s">
        <v>14</v>
      </c>
      <c r="G77">
        <v>450</v>
      </c>
      <c r="H77">
        <f t="shared" si="10"/>
        <v>76</v>
      </c>
      <c r="I77" s="2">
        <f t="shared" si="11"/>
        <v>646</v>
      </c>
      <c r="J77">
        <f t="shared" si="13"/>
        <v>646</v>
      </c>
      <c r="K77" t="str">
        <f t="shared" si="14"/>
        <v>Yes</v>
      </c>
      <c r="L77">
        <f t="shared" si="15"/>
        <v>-38</v>
      </c>
      <c r="M77" s="1">
        <f t="shared" si="16"/>
        <v>45685</v>
      </c>
      <c r="N77">
        <f t="shared" si="12"/>
        <v>-38</v>
      </c>
    </row>
    <row r="78" spans="1:14" x14ac:dyDescent="0.35">
      <c r="A78" s="1">
        <v>45670</v>
      </c>
      <c r="B78" t="s">
        <v>15</v>
      </c>
      <c r="C78">
        <v>49</v>
      </c>
      <c r="D78">
        <v>0</v>
      </c>
      <c r="E78">
        <v>10</v>
      </c>
      <c r="F78" t="s">
        <v>16</v>
      </c>
      <c r="G78">
        <v>180</v>
      </c>
      <c r="H78">
        <f t="shared" si="10"/>
        <v>98</v>
      </c>
      <c r="I78" s="2">
        <f t="shared" si="11"/>
        <v>588</v>
      </c>
      <c r="J78">
        <f t="shared" si="13"/>
        <v>588</v>
      </c>
      <c r="K78" t="str">
        <f t="shared" si="14"/>
        <v>Yes</v>
      </c>
      <c r="L78">
        <f t="shared" si="15"/>
        <v>-49</v>
      </c>
      <c r="M78" s="1">
        <f t="shared" si="16"/>
        <v>45680</v>
      </c>
      <c r="N78">
        <f t="shared" si="12"/>
        <v>-49</v>
      </c>
    </row>
    <row r="79" spans="1:14" x14ac:dyDescent="0.35">
      <c r="A79" s="1">
        <v>45670</v>
      </c>
      <c r="B79" t="s">
        <v>17</v>
      </c>
      <c r="C79">
        <v>30</v>
      </c>
      <c r="D79">
        <v>0</v>
      </c>
      <c r="E79">
        <v>7</v>
      </c>
      <c r="F79" t="s">
        <v>18</v>
      </c>
      <c r="G79">
        <v>100</v>
      </c>
      <c r="H79">
        <f t="shared" si="10"/>
        <v>60</v>
      </c>
      <c r="I79" s="2">
        <f t="shared" si="11"/>
        <v>270</v>
      </c>
      <c r="J79">
        <f t="shared" si="13"/>
        <v>270</v>
      </c>
      <c r="K79" t="str">
        <f t="shared" si="14"/>
        <v>Yes</v>
      </c>
      <c r="L79">
        <f t="shared" si="15"/>
        <v>-30</v>
      </c>
      <c r="M79" s="1">
        <f t="shared" si="16"/>
        <v>45677</v>
      </c>
      <c r="N79">
        <f t="shared" si="12"/>
        <v>-30</v>
      </c>
    </row>
    <row r="80" spans="1:14" x14ac:dyDescent="0.35">
      <c r="A80" s="1">
        <v>45671</v>
      </c>
      <c r="B80" t="s">
        <v>7</v>
      </c>
      <c r="C80">
        <v>84</v>
      </c>
      <c r="D80">
        <v>0</v>
      </c>
      <c r="E80">
        <v>12</v>
      </c>
      <c r="F80" t="s">
        <v>8</v>
      </c>
      <c r="G80">
        <v>320</v>
      </c>
      <c r="H80">
        <f t="shared" si="10"/>
        <v>168</v>
      </c>
      <c r="I80" s="2">
        <f t="shared" si="11"/>
        <v>1176</v>
      </c>
      <c r="J80">
        <f t="shared" si="13"/>
        <v>1176</v>
      </c>
      <c r="K80" t="str">
        <f t="shared" si="14"/>
        <v>Yes</v>
      </c>
      <c r="L80">
        <f t="shared" si="15"/>
        <v>-84</v>
      </c>
      <c r="M80" s="1">
        <f t="shared" si="16"/>
        <v>45683</v>
      </c>
      <c r="N80">
        <f t="shared" si="12"/>
        <v>-84</v>
      </c>
    </row>
    <row r="81" spans="1:14" x14ac:dyDescent="0.35">
      <c r="A81" s="1">
        <v>45671</v>
      </c>
      <c r="B81" t="s">
        <v>9</v>
      </c>
      <c r="C81">
        <v>99</v>
      </c>
      <c r="D81">
        <v>0</v>
      </c>
      <c r="E81">
        <v>8</v>
      </c>
      <c r="F81" t="s">
        <v>10</v>
      </c>
      <c r="G81">
        <v>120</v>
      </c>
      <c r="H81">
        <f t="shared" si="10"/>
        <v>198</v>
      </c>
      <c r="I81" s="2">
        <f t="shared" si="11"/>
        <v>990</v>
      </c>
      <c r="J81">
        <f t="shared" si="13"/>
        <v>990</v>
      </c>
      <c r="K81" t="str">
        <f t="shared" si="14"/>
        <v>Yes</v>
      </c>
      <c r="L81">
        <f t="shared" si="15"/>
        <v>-99</v>
      </c>
      <c r="M81" s="1">
        <f t="shared" si="16"/>
        <v>45679</v>
      </c>
      <c r="N81">
        <f t="shared" si="12"/>
        <v>-99</v>
      </c>
    </row>
    <row r="82" spans="1:14" x14ac:dyDescent="0.35">
      <c r="A82" s="1">
        <v>45671</v>
      </c>
      <c r="B82" t="s">
        <v>11</v>
      </c>
      <c r="C82">
        <v>115</v>
      </c>
      <c r="D82">
        <v>0</v>
      </c>
      <c r="E82">
        <v>10</v>
      </c>
      <c r="F82" t="s">
        <v>12</v>
      </c>
      <c r="G82">
        <v>65</v>
      </c>
      <c r="H82">
        <f t="shared" si="10"/>
        <v>230</v>
      </c>
      <c r="I82" s="2">
        <f t="shared" si="11"/>
        <v>1380</v>
      </c>
      <c r="J82">
        <f t="shared" si="13"/>
        <v>1380</v>
      </c>
      <c r="K82" t="str">
        <f t="shared" si="14"/>
        <v>Yes</v>
      </c>
      <c r="L82">
        <f t="shared" si="15"/>
        <v>-115</v>
      </c>
      <c r="M82" s="1">
        <f t="shared" si="16"/>
        <v>45681</v>
      </c>
      <c r="N82">
        <f t="shared" si="12"/>
        <v>-115</v>
      </c>
    </row>
    <row r="83" spans="1:14" x14ac:dyDescent="0.35">
      <c r="A83" s="1">
        <v>45671</v>
      </c>
      <c r="B83" t="s">
        <v>13</v>
      </c>
      <c r="C83">
        <v>40</v>
      </c>
      <c r="D83">
        <v>0</v>
      </c>
      <c r="E83">
        <v>15</v>
      </c>
      <c r="F83" t="s">
        <v>14</v>
      </c>
      <c r="G83">
        <v>450</v>
      </c>
      <c r="H83">
        <f t="shared" si="10"/>
        <v>80</v>
      </c>
      <c r="I83" s="2">
        <f t="shared" si="11"/>
        <v>680</v>
      </c>
      <c r="J83">
        <f t="shared" si="13"/>
        <v>680</v>
      </c>
      <c r="K83" t="str">
        <f t="shared" si="14"/>
        <v>Yes</v>
      </c>
      <c r="L83">
        <f t="shared" si="15"/>
        <v>-40</v>
      </c>
      <c r="M83" s="1">
        <f t="shared" si="16"/>
        <v>45686</v>
      </c>
      <c r="N83">
        <f t="shared" si="12"/>
        <v>-40</v>
      </c>
    </row>
    <row r="84" spans="1:14" x14ac:dyDescent="0.35">
      <c r="A84" s="1">
        <v>45671</v>
      </c>
      <c r="B84" t="s">
        <v>15</v>
      </c>
      <c r="C84">
        <v>50</v>
      </c>
      <c r="D84">
        <v>0</v>
      </c>
      <c r="E84">
        <v>10</v>
      </c>
      <c r="F84" t="s">
        <v>16</v>
      </c>
      <c r="G84">
        <v>180</v>
      </c>
      <c r="H84">
        <f t="shared" si="10"/>
        <v>100</v>
      </c>
      <c r="I84" s="2">
        <f t="shared" si="11"/>
        <v>600</v>
      </c>
      <c r="J84">
        <f t="shared" si="13"/>
        <v>600</v>
      </c>
      <c r="K84" t="str">
        <f t="shared" si="14"/>
        <v>Yes</v>
      </c>
      <c r="L84">
        <f t="shared" si="15"/>
        <v>-50</v>
      </c>
      <c r="M84" s="1">
        <f t="shared" si="16"/>
        <v>45681</v>
      </c>
      <c r="N84">
        <f t="shared" si="12"/>
        <v>-50</v>
      </c>
    </row>
    <row r="85" spans="1:14" x14ac:dyDescent="0.35">
      <c r="A85" s="1">
        <v>45671</v>
      </c>
      <c r="B85" t="s">
        <v>17</v>
      </c>
      <c r="C85">
        <v>29</v>
      </c>
      <c r="D85">
        <v>0</v>
      </c>
      <c r="E85">
        <v>7</v>
      </c>
      <c r="F85" t="s">
        <v>18</v>
      </c>
      <c r="G85">
        <v>100</v>
      </c>
      <c r="H85">
        <f t="shared" si="10"/>
        <v>58</v>
      </c>
      <c r="I85" s="2">
        <f t="shared" si="11"/>
        <v>261</v>
      </c>
      <c r="J85">
        <f t="shared" si="13"/>
        <v>261</v>
      </c>
      <c r="K85" t="str">
        <f t="shared" si="14"/>
        <v>Yes</v>
      </c>
      <c r="L85">
        <f t="shared" si="15"/>
        <v>-29</v>
      </c>
      <c r="M85" s="1">
        <f t="shared" si="16"/>
        <v>45678</v>
      </c>
      <c r="N85">
        <f t="shared" si="12"/>
        <v>-29</v>
      </c>
    </row>
    <row r="86" spans="1:14" x14ac:dyDescent="0.35">
      <c r="A86" s="1">
        <v>45672</v>
      </c>
      <c r="B86" t="s">
        <v>7</v>
      </c>
      <c r="C86">
        <v>81</v>
      </c>
      <c r="D86">
        <v>0</v>
      </c>
      <c r="E86">
        <v>12</v>
      </c>
      <c r="F86" t="s">
        <v>8</v>
      </c>
      <c r="G86">
        <v>320</v>
      </c>
      <c r="H86">
        <f t="shared" si="10"/>
        <v>162</v>
      </c>
      <c r="I86" s="2">
        <f t="shared" si="11"/>
        <v>1134</v>
      </c>
      <c r="J86">
        <f t="shared" si="13"/>
        <v>1134</v>
      </c>
      <c r="K86" t="str">
        <f t="shared" si="14"/>
        <v>Yes</v>
      </c>
      <c r="L86">
        <f t="shared" si="15"/>
        <v>-81</v>
      </c>
      <c r="M86" s="1">
        <f t="shared" si="16"/>
        <v>45684</v>
      </c>
      <c r="N86">
        <f t="shared" si="12"/>
        <v>-81</v>
      </c>
    </row>
    <row r="87" spans="1:14" x14ac:dyDescent="0.35">
      <c r="A87" s="1">
        <v>45672</v>
      </c>
      <c r="B87" t="s">
        <v>9</v>
      </c>
      <c r="C87">
        <v>96</v>
      </c>
      <c r="D87">
        <v>0</v>
      </c>
      <c r="E87">
        <v>8</v>
      </c>
      <c r="F87" t="s">
        <v>10</v>
      </c>
      <c r="G87">
        <v>120</v>
      </c>
      <c r="H87">
        <f t="shared" si="10"/>
        <v>192</v>
      </c>
      <c r="I87" s="2">
        <f t="shared" si="11"/>
        <v>960</v>
      </c>
      <c r="J87">
        <f t="shared" si="13"/>
        <v>960</v>
      </c>
      <c r="K87" t="str">
        <f t="shared" si="14"/>
        <v>Yes</v>
      </c>
      <c r="L87">
        <f t="shared" si="15"/>
        <v>-96</v>
      </c>
      <c r="M87" s="1">
        <f t="shared" si="16"/>
        <v>45680</v>
      </c>
      <c r="N87">
        <f t="shared" si="12"/>
        <v>-96</v>
      </c>
    </row>
    <row r="88" spans="1:14" x14ac:dyDescent="0.35">
      <c r="A88" s="1">
        <v>45672</v>
      </c>
      <c r="B88" t="s">
        <v>11</v>
      </c>
      <c r="C88">
        <v>120</v>
      </c>
      <c r="D88">
        <v>0</v>
      </c>
      <c r="E88">
        <v>10</v>
      </c>
      <c r="F88" t="s">
        <v>12</v>
      </c>
      <c r="G88">
        <v>65</v>
      </c>
      <c r="H88">
        <f t="shared" si="10"/>
        <v>240</v>
      </c>
      <c r="I88" s="2">
        <f t="shared" si="11"/>
        <v>1440</v>
      </c>
      <c r="J88">
        <f t="shared" si="13"/>
        <v>1440</v>
      </c>
      <c r="K88" t="str">
        <f t="shared" si="14"/>
        <v>Yes</v>
      </c>
      <c r="L88">
        <f t="shared" si="15"/>
        <v>-120</v>
      </c>
      <c r="M88" s="1">
        <f t="shared" si="16"/>
        <v>45682</v>
      </c>
      <c r="N88">
        <f t="shared" si="12"/>
        <v>-120</v>
      </c>
    </row>
    <row r="89" spans="1:14" x14ac:dyDescent="0.35">
      <c r="A89" s="1">
        <v>45672</v>
      </c>
      <c r="B89" t="s">
        <v>13</v>
      </c>
      <c r="C89">
        <v>39</v>
      </c>
      <c r="D89">
        <v>0</v>
      </c>
      <c r="E89">
        <v>15</v>
      </c>
      <c r="F89" t="s">
        <v>14</v>
      </c>
      <c r="G89">
        <v>450</v>
      </c>
      <c r="H89">
        <f t="shared" si="10"/>
        <v>78</v>
      </c>
      <c r="I89" s="2">
        <f t="shared" si="11"/>
        <v>663</v>
      </c>
      <c r="J89">
        <f t="shared" si="13"/>
        <v>663</v>
      </c>
      <c r="K89" t="str">
        <f t="shared" si="14"/>
        <v>Yes</v>
      </c>
      <c r="L89">
        <f t="shared" si="15"/>
        <v>-39</v>
      </c>
      <c r="M89" s="1">
        <f t="shared" si="16"/>
        <v>45687</v>
      </c>
      <c r="N89">
        <f t="shared" si="12"/>
        <v>-39</v>
      </c>
    </row>
    <row r="90" spans="1:14" x14ac:dyDescent="0.35">
      <c r="A90" s="1">
        <v>45672</v>
      </c>
      <c r="B90" t="s">
        <v>15</v>
      </c>
      <c r="C90">
        <v>48</v>
      </c>
      <c r="D90">
        <v>0</v>
      </c>
      <c r="E90">
        <v>10</v>
      </c>
      <c r="F90" t="s">
        <v>16</v>
      </c>
      <c r="G90">
        <v>180</v>
      </c>
      <c r="H90">
        <f t="shared" si="10"/>
        <v>96</v>
      </c>
      <c r="I90" s="2">
        <f t="shared" si="11"/>
        <v>576</v>
      </c>
      <c r="J90">
        <f t="shared" si="13"/>
        <v>576</v>
      </c>
      <c r="K90" t="str">
        <f t="shared" si="14"/>
        <v>Yes</v>
      </c>
      <c r="L90">
        <f t="shared" si="15"/>
        <v>-48</v>
      </c>
      <c r="M90" s="1">
        <f t="shared" si="16"/>
        <v>45682</v>
      </c>
      <c r="N90">
        <f t="shared" si="12"/>
        <v>-48</v>
      </c>
    </row>
    <row r="91" spans="1:14" x14ac:dyDescent="0.35">
      <c r="A91" s="1">
        <v>45672</v>
      </c>
      <c r="B91" t="s">
        <v>17</v>
      </c>
      <c r="C91">
        <v>31</v>
      </c>
      <c r="D91">
        <v>0</v>
      </c>
      <c r="E91">
        <v>7</v>
      </c>
      <c r="F91" t="s">
        <v>18</v>
      </c>
      <c r="G91">
        <v>100</v>
      </c>
      <c r="H91">
        <f t="shared" si="10"/>
        <v>62</v>
      </c>
      <c r="I91" s="2">
        <f t="shared" si="11"/>
        <v>279</v>
      </c>
      <c r="J91">
        <f t="shared" si="13"/>
        <v>279</v>
      </c>
      <c r="K91" t="str">
        <f t="shared" si="14"/>
        <v>Yes</v>
      </c>
      <c r="L91">
        <f t="shared" si="15"/>
        <v>-31</v>
      </c>
      <c r="M91" s="1">
        <f t="shared" si="16"/>
        <v>45679</v>
      </c>
      <c r="N91">
        <f t="shared" si="12"/>
        <v>-31</v>
      </c>
    </row>
    <row r="92" spans="1:14" x14ac:dyDescent="0.35">
      <c r="A92" s="1">
        <v>45673</v>
      </c>
      <c r="B92" t="s">
        <v>7</v>
      </c>
      <c r="C92">
        <v>83</v>
      </c>
      <c r="D92">
        <v>0</v>
      </c>
      <c r="E92">
        <v>12</v>
      </c>
      <c r="F92" t="s">
        <v>8</v>
      </c>
      <c r="G92">
        <v>320</v>
      </c>
      <c r="H92">
        <f t="shared" si="10"/>
        <v>166</v>
      </c>
      <c r="I92" s="2">
        <f t="shared" si="11"/>
        <v>1162</v>
      </c>
      <c r="J92">
        <f t="shared" si="13"/>
        <v>1162</v>
      </c>
      <c r="K92" t="str">
        <f t="shared" si="14"/>
        <v>Yes</v>
      </c>
      <c r="L92">
        <f t="shared" si="15"/>
        <v>-83</v>
      </c>
      <c r="M92" s="1">
        <f t="shared" si="16"/>
        <v>45685</v>
      </c>
      <c r="N92">
        <f t="shared" si="12"/>
        <v>-83</v>
      </c>
    </row>
    <row r="93" spans="1:14" x14ac:dyDescent="0.35">
      <c r="A93" s="1">
        <v>45673</v>
      </c>
      <c r="B93" t="s">
        <v>9</v>
      </c>
      <c r="C93">
        <v>92</v>
      </c>
      <c r="D93">
        <v>0</v>
      </c>
      <c r="E93">
        <v>8</v>
      </c>
      <c r="F93" t="s">
        <v>10</v>
      </c>
      <c r="G93">
        <v>120</v>
      </c>
      <c r="H93">
        <f t="shared" si="10"/>
        <v>184</v>
      </c>
      <c r="I93" s="2">
        <f t="shared" si="11"/>
        <v>920</v>
      </c>
      <c r="J93">
        <f t="shared" si="13"/>
        <v>920</v>
      </c>
      <c r="K93" t="str">
        <f t="shared" si="14"/>
        <v>Yes</v>
      </c>
      <c r="L93">
        <f t="shared" si="15"/>
        <v>-92</v>
      </c>
      <c r="M93" s="1">
        <f t="shared" si="16"/>
        <v>45681</v>
      </c>
      <c r="N93">
        <f t="shared" si="12"/>
        <v>-92</v>
      </c>
    </row>
    <row r="94" spans="1:14" x14ac:dyDescent="0.35">
      <c r="A94" s="1">
        <v>45673</v>
      </c>
      <c r="B94" t="s">
        <v>11</v>
      </c>
      <c r="C94">
        <v>118</v>
      </c>
      <c r="D94">
        <v>0</v>
      </c>
      <c r="E94">
        <v>10</v>
      </c>
      <c r="F94" t="s">
        <v>12</v>
      </c>
      <c r="G94">
        <v>65</v>
      </c>
      <c r="H94">
        <f t="shared" si="10"/>
        <v>236</v>
      </c>
      <c r="I94" s="2">
        <f t="shared" si="11"/>
        <v>1416</v>
      </c>
      <c r="J94">
        <f t="shared" si="13"/>
        <v>1416</v>
      </c>
      <c r="K94" t="str">
        <f t="shared" si="14"/>
        <v>Yes</v>
      </c>
      <c r="L94">
        <f t="shared" si="15"/>
        <v>-118</v>
      </c>
      <c r="M94" s="1">
        <f t="shared" si="16"/>
        <v>45683</v>
      </c>
      <c r="N94">
        <f t="shared" si="12"/>
        <v>-118</v>
      </c>
    </row>
    <row r="95" spans="1:14" x14ac:dyDescent="0.35">
      <c r="A95" s="1">
        <v>45673</v>
      </c>
      <c r="B95" t="s">
        <v>13</v>
      </c>
      <c r="C95">
        <v>37</v>
      </c>
      <c r="D95">
        <v>0</v>
      </c>
      <c r="E95">
        <v>15</v>
      </c>
      <c r="F95" t="s">
        <v>14</v>
      </c>
      <c r="G95">
        <v>450</v>
      </c>
      <c r="H95">
        <f t="shared" si="10"/>
        <v>74</v>
      </c>
      <c r="I95" s="2">
        <f t="shared" si="11"/>
        <v>629</v>
      </c>
      <c r="J95">
        <f t="shared" si="13"/>
        <v>629</v>
      </c>
      <c r="K95" t="str">
        <f t="shared" si="14"/>
        <v>Yes</v>
      </c>
      <c r="L95">
        <f t="shared" si="15"/>
        <v>-37</v>
      </c>
      <c r="M95" s="1">
        <f t="shared" si="16"/>
        <v>45688</v>
      </c>
      <c r="N95">
        <f t="shared" si="12"/>
        <v>-37</v>
      </c>
    </row>
    <row r="96" spans="1:14" x14ac:dyDescent="0.35">
      <c r="A96" s="1">
        <v>45673</v>
      </c>
      <c r="B96" t="s">
        <v>15</v>
      </c>
      <c r="C96">
        <v>52</v>
      </c>
      <c r="D96">
        <v>0</v>
      </c>
      <c r="E96">
        <v>10</v>
      </c>
      <c r="F96" t="s">
        <v>16</v>
      </c>
      <c r="G96">
        <v>180</v>
      </c>
      <c r="H96">
        <f t="shared" si="10"/>
        <v>104</v>
      </c>
      <c r="I96" s="2">
        <f t="shared" si="11"/>
        <v>624</v>
      </c>
      <c r="J96">
        <f t="shared" si="13"/>
        <v>624</v>
      </c>
      <c r="K96" t="str">
        <f t="shared" si="14"/>
        <v>Yes</v>
      </c>
      <c r="L96">
        <f t="shared" si="15"/>
        <v>-52</v>
      </c>
      <c r="M96" s="1">
        <f t="shared" si="16"/>
        <v>45683</v>
      </c>
      <c r="N96">
        <f t="shared" si="12"/>
        <v>-52</v>
      </c>
    </row>
    <row r="97" spans="1:14" x14ac:dyDescent="0.35">
      <c r="A97" s="1">
        <v>45673</v>
      </c>
      <c r="B97" t="s">
        <v>17</v>
      </c>
      <c r="C97">
        <v>30</v>
      </c>
      <c r="D97">
        <v>0</v>
      </c>
      <c r="E97">
        <v>7</v>
      </c>
      <c r="F97" t="s">
        <v>18</v>
      </c>
      <c r="G97">
        <v>100</v>
      </c>
      <c r="H97">
        <f t="shared" si="10"/>
        <v>60</v>
      </c>
      <c r="I97" s="2">
        <f t="shared" si="11"/>
        <v>270</v>
      </c>
      <c r="J97">
        <f t="shared" si="13"/>
        <v>270</v>
      </c>
      <c r="K97" t="str">
        <f t="shared" si="14"/>
        <v>Yes</v>
      </c>
      <c r="L97">
        <f t="shared" si="15"/>
        <v>-30</v>
      </c>
      <c r="M97" s="1">
        <f t="shared" si="16"/>
        <v>45680</v>
      </c>
      <c r="N97">
        <f t="shared" si="12"/>
        <v>-30</v>
      </c>
    </row>
    <row r="98" spans="1:14" x14ac:dyDescent="0.35">
      <c r="A98" s="1">
        <v>45674</v>
      </c>
      <c r="B98" t="s">
        <v>7</v>
      </c>
      <c r="C98">
        <v>80</v>
      </c>
      <c r="D98">
        <v>0</v>
      </c>
      <c r="E98">
        <v>12</v>
      </c>
      <c r="F98" t="s">
        <v>8</v>
      </c>
      <c r="G98">
        <v>320</v>
      </c>
      <c r="H98">
        <f t="shared" ref="H98:H103" si="17">C98*2</f>
        <v>160</v>
      </c>
      <c r="I98" s="2">
        <f t="shared" ref="I98:I103" si="18">(C98*E98)+H98</f>
        <v>1120</v>
      </c>
      <c r="J98">
        <f t="shared" si="13"/>
        <v>1120</v>
      </c>
      <c r="K98" t="str">
        <f t="shared" si="14"/>
        <v>Yes</v>
      </c>
      <c r="L98">
        <f t="shared" si="15"/>
        <v>-80</v>
      </c>
      <c r="M98" s="1">
        <f t="shared" si="16"/>
        <v>45686</v>
      </c>
      <c r="N98">
        <f t="shared" ref="N98:N103" si="19">L98 + IF(A98=M98,J98,0)</f>
        <v>-80</v>
      </c>
    </row>
    <row r="99" spans="1:14" x14ac:dyDescent="0.35">
      <c r="A99" s="1">
        <v>45674</v>
      </c>
      <c r="B99" t="s">
        <v>9</v>
      </c>
      <c r="C99">
        <v>95</v>
      </c>
      <c r="D99">
        <v>0</v>
      </c>
      <c r="E99">
        <v>8</v>
      </c>
      <c r="F99" t="s">
        <v>10</v>
      </c>
      <c r="G99">
        <v>120</v>
      </c>
      <c r="H99">
        <f t="shared" si="17"/>
        <v>190</v>
      </c>
      <c r="I99" s="2">
        <f t="shared" si="18"/>
        <v>950</v>
      </c>
      <c r="J99">
        <f t="shared" si="13"/>
        <v>950</v>
      </c>
      <c r="K99" t="str">
        <f t="shared" si="14"/>
        <v>Yes</v>
      </c>
      <c r="L99">
        <f t="shared" si="15"/>
        <v>-95</v>
      </c>
      <c r="M99" s="1">
        <f t="shared" si="16"/>
        <v>45682</v>
      </c>
      <c r="N99">
        <f t="shared" si="19"/>
        <v>-95</v>
      </c>
    </row>
    <row r="100" spans="1:14" x14ac:dyDescent="0.35">
      <c r="A100" s="1">
        <v>45674</v>
      </c>
      <c r="B100" t="s">
        <v>11</v>
      </c>
      <c r="C100">
        <v>115</v>
      </c>
      <c r="D100">
        <v>0</v>
      </c>
      <c r="E100">
        <v>10</v>
      </c>
      <c r="F100" t="s">
        <v>12</v>
      </c>
      <c r="G100">
        <v>65</v>
      </c>
      <c r="H100">
        <f t="shared" si="17"/>
        <v>230</v>
      </c>
      <c r="I100" s="2">
        <f t="shared" si="18"/>
        <v>1380</v>
      </c>
      <c r="J100">
        <f t="shared" si="13"/>
        <v>1380</v>
      </c>
      <c r="K100" t="str">
        <f t="shared" si="14"/>
        <v>Yes</v>
      </c>
      <c r="L100">
        <f t="shared" si="15"/>
        <v>-115</v>
      </c>
      <c r="M100" s="1">
        <f t="shared" si="16"/>
        <v>45684</v>
      </c>
      <c r="N100">
        <f t="shared" si="19"/>
        <v>-115</v>
      </c>
    </row>
    <row r="101" spans="1:14" x14ac:dyDescent="0.35">
      <c r="A101" s="1">
        <v>45674</v>
      </c>
      <c r="B101" t="s">
        <v>13</v>
      </c>
      <c r="C101">
        <v>38</v>
      </c>
      <c r="D101">
        <v>0</v>
      </c>
      <c r="E101">
        <v>15</v>
      </c>
      <c r="F101" t="s">
        <v>14</v>
      </c>
      <c r="G101">
        <v>450</v>
      </c>
      <c r="H101">
        <f t="shared" si="17"/>
        <v>76</v>
      </c>
      <c r="I101" s="2">
        <f t="shared" si="18"/>
        <v>646</v>
      </c>
      <c r="J101">
        <f t="shared" si="13"/>
        <v>646</v>
      </c>
      <c r="K101" t="str">
        <f t="shared" si="14"/>
        <v>Yes</v>
      </c>
      <c r="L101">
        <f t="shared" si="15"/>
        <v>-38</v>
      </c>
      <c r="M101" s="1">
        <f t="shared" si="16"/>
        <v>45689</v>
      </c>
      <c r="N101">
        <f t="shared" si="19"/>
        <v>-38</v>
      </c>
    </row>
    <row r="102" spans="1:14" x14ac:dyDescent="0.35">
      <c r="A102" s="1">
        <v>45674</v>
      </c>
      <c r="B102" t="s">
        <v>15</v>
      </c>
      <c r="C102">
        <v>49</v>
      </c>
      <c r="D102">
        <v>0</v>
      </c>
      <c r="E102">
        <v>10</v>
      </c>
      <c r="F102" t="s">
        <v>16</v>
      </c>
      <c r="G102">
        <v>180</v>
      </c>
      <c r="H102">
        <f t="shared" si="17"/>
        <v>98</v>
      </c>
      <c r="I102" s="2">
        <f t="shared" si="18"/>
        <v>588</v>
      </c>
      <c r="J102">
        <f t="shared" si="13"/>
        <v>588</v>
      </c>
      <c r="K102" t="str">
        <f t="shared" si="14"/>
        <v>Yes</v>
      </c>
      <c r="L102">
        <f t="shared" si="15"/>
        <v>-49</v>
      </c>
      <c r="M102" s="1">
        <f t="shared" si="16"/>
        <v>45684</v>
      </c>
      <c r="N102">
        <f t="shared" si="19"/>
        <v>-49</v>
      </c>
    </row>
    <row r="103" spans="1:14" x14ac:dyDescent="0.35">
      <c r="A103" s="1">
        <v>45674</v>
      </c>
      <c r="B103" t="s">
        <v>17</v>
      </c>
      <c r="C103">
        <v>32</v>
      </c>
      <c r="D103">
        <v>0</v>
      </c>
      <c r="E103">
        <v>7</v>
      </c>
      <c r="F103" t="s">
        <v>18</v>
      </c>
      <c r="G103">
        <v>100</v>
      </c>
      <c r="H103">
        <f t="shared" si="17"/>
        <v>64</v>
      </c>
      <c r="I103" s="2">
        <f t="shared" si="18"/>
        <v>288</v>
      </c>
      <c r="J103">
        <f t="shared" si="13"/>
        <v>288</v>
      </c>
      <c r="K103" t="str">
        <f t="shared" si="14"/>
        <v>Yes</v>
      </c>
      <c r="L103">
        <f t="shared" si="15"/>
        <v>-32</v>
      </c>
      <c r="M103" s="1">
        <f t="shared" si="16"/>
        <v>45681</v>
      </c>
      <c r="N103">
        <f t="shared" si="19"/>
        <v>-32</v>
      </c>
    </row>
  </sheetData>
  <dataValidations count="2">
    <dataValidation type="list" allowBlank="1" showInputMessage="1" showErrorMessage="1" sqref="K104:K1048576" xr:uid="{C0F06C4E-C7C7-4379-BE23-20968C273A5D}">
      <formula1>"Yes, no"</formula1>
    </dataValidation>
    <dataValidation type="list" allowBlank="1" showInputMessage="1" showErrorMessage="1" sqref="K2:K103" xr:uid="{C233E1AA-EA65-4BC5-9D61-A34FE278E61D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Nishreeta Karki</cp:lastModifiedBy>
  <dcterms:created xsi:type="dcterms:W3CDTF">2026-03-14T06:42:45Z</dcterms:created>
  <dcterms:modified xsi:type="dcterms:W3CDTF">2026-03-15T04:00:02Z</dcterms:modified>
</cp:coreProperties>
</file>